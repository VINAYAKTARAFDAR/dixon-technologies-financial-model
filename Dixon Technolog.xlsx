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c4c9598cd242d3/Desktop/Dixon/"/>
    </mc:Choice>
  </mc:AlternateContent>
  <xr:revisionPtr revIDLastSave="1984" documentId="13_ncr:1_{61469F93-9F2C-402C-96F1-5058E5EE3B8F}" xr6:coauthVersionLast="47" xr6:coauthVersionMax="47" xr10:uidLastSave="{D2AC8083-2571-40BE-9392-CA3FDE181503}"/>
  <bookViews>
    <workbookView xWindow="-108" yWindow="-108" windowWidth="23256" windowHeight="12456" tabRatio="850" activeTab="5" xr2:uid="{D4886810-D9CC-4231-AA87-2302A306BB27}"/>
  </bookViews>
  <sheets>
    <sheet name="Cover" sheetId="13" r:id="rId1"/>
    <sheet name="Assumptions" sheetId="14" r:id="rId2"/>
    <sheet name="HistoricalFS" sheetId="3" r:id="rId3"/>
    <sheet name="Ratio Analysis" sheetId="6" r:id="rId4"/>
    <sheet name="Common Size Statement" sheetId="8" r:id="rId5"/>
    <sheet name="Forecasting" sheetId="9" r:id="rId6"/>
    <sheet name="WC" sheetId="10" r:id="rId7"/>
    <sheet name="Projected CFS" sheetId="11" r:id="rId8"/>
    <sheet name="DCF" sheetId="12" r:id="rId9"/>
    <sheet name="Data Sheet" sheetId="2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2" l="1"/>
  <c r="C10" i="11"/>
  <c r="C9" i="11"/>
  <c r="C8" i="11"/>
  <c r="C7" i="11"/>
  <c r="C6" i="11"/>
  <c r="C5" i="11"/>
  <c r="K13" i="9"/>
  <c r="L23" i="9"/>
  <c r="L22" i="9"/>
  <c r="L21" i="9"/>
  <c r="L20" i="9"/>
  <c r="L19" i="9"/>
  <c r="E23" i="9"/>
  <c r="D10" i="11" s="1"/>
  <c r="E22" i="9"/>
  <c r="D9" i="11" s="1"/>
  <c r="E21" i="9"/>
  <c r="D8" i="11" s="1"/>
  <c r="E20" i="9"/>
  <c r="D7" i="11" s="1"/>
  <c r="E19" i="9"/>
  <c r="D6" i="11" s="1"/>
  <c r="E18" i="9"/>
  <c r="D5" i="11" s="1"/>
  <c r="K5" i="12"/>
  <c r="C27" i="14"/>
  <c r="H16" i="10"/>
  <c r="H15" i="10"/>
  <c r="H14" i="10"/>
  <c r="H13" i="10"/>
  <c r="H12" i="10"/>
  <c r="G16" i="10"/>
  <c r="G15" i="10"/>
  <c r="G14" i="10"/>
  <c r="G13" i="10"/>
  <c r="G12" i="10"/>
  <c r="K6" i="12"/>
  <c r="C26" i="14"/>
  <c r="L9" i="11"/>
  <c r="L8" i="11"/>
  <c r="L7" i="11"/>
  <c r="L6" i="11"/>
  <c r="L5" i="11"/>
  <c r="J9" i="11"/>
  <c r="J8" i="11"/>
  <c r="J7" i="11"/>
  <c r="J6" i="11"/>
  <c r="J5" i="11"/>
  <c r="K9" i="11"/>
  <c r="K8" i="11"/>
  <c r="K7" i="11"/>
  <c r="K6" i="11"/>
  <c r="K5" i="11"/>
  <c r="Q10" i="10"/>
  <c r="Q9" i="10"/>
  <c r="Q8" i="10"/>
  <c r="Q7" i="10"/>
  <c r="Q6" i="10"/>
  <c r="P10" i="10"/>
  <c r="P9" i="10"/>
  <c r="P8" i="10"/>
  <c r="P7" i="10"/>
  <c r="P6" i="10"/>
  <c r="O10" i="10"/>
  <c r="O9" i="10"/>
  <c r="O8" i="10"/>
  <c r="O7" i="10"/>
  <c r="O6" i="10"/>
  <c r="K23" i="9"/>
  <c r="K22" i="9"/>
  <c r="K21" i="9"/>
  <c r="K20" i="9"/>
  <c r="K19" i="9"/>
  <c r="K9" i="9"/>
  <c r="K8" i="9"/>
  <c r="K7" i="9"/>
  <c r="K6" i="9"/>
  <c r="K5" i="9"/>
  <c r="C10" i="9" s="1"/>
  <c r="E24" i="9" s="1"/>
  <c r="D3" i="14"/>
  <c r="E3" i="14" s="1"/>
  <c r="F3" i="14" s="1"/>
  <c r="G3" i="14" s="1"/>
  <c r="R22" i="12"/>
  <c r="R21" i="12"/>
  <c r="R20" i="12"/>
  <c r="S22" i="12"/>
  <c r="S21" i="12"/>
  <c r="S20" i="12"/>
  <c r="Q22" i="12"/>
  <c r="Q21" i="12"/>
  <c r="Q20" i="12"/>
  <c r="E24" i="12"/>
  <c r="E21" i="12"/>
  <c r="E19" i="12"/>
  <c r="E10" i="12" l="1"/>
  <c r="E9" i="12"/>
  <c r="E8" i="12"/>
  <c r="E7" i="12"/>
  <c r="E6" i="12"/>
  <c r="E5" i="12"/>
  <c r="F23" i="11"/>
  <c r="F22" i="11"/>
  <c r="F21" i="11"/>
  <c r="F20" i="11"/>
  <c r="F19" i="11"/>
  <c r="D23" i="11"/>
  <c r="D22" i="11"/>
  <c r="D21" i="11"/>
  <c r="D20" i="11"/>
  <c r="D19" i="11"/>
  <c r="C19" i="11"/>
  <c r="E10" i="11"/>
  <c r="F10" i="11" s="1"/>
  <c r="E9" i="11"/>
  <c r="F9" i="11" s="1"/>
  <c r="E8" i="11"/>
  <c r="F8" i="11" s="1"/>
  <c r="E7" i="11"/>
  <c r="F7" i="11" s="1"/>
  <c r="E6" i="11"/>
  <c r="F6" i="11" s="1"/>
  <c r="E5" i="11"/>
  <c r="B5" i="11"/>
  <c r="C12" i="10"/>
  <c r="B6" i="10" a="1"/>
  <c r="B6" i="10" s="1"/>
  <c r="F6" i="10" a="1"/>
  <c r="F6" i="10" s="1"/>
  <c r="E6" i="10" a="1"/>
  <c r="E6" i="10" s="1"/>
  <c r="C6" i="10" a="1"/>
  <c r="C6" i="10" s="1"/>
  <c r="D6" i="10" a="1"/>
  <c r="D6" i="10" s="1"/>
  <c r="B19" i="9"/>
  <c r="B20" i="9" s="1"/>
  <c r="B21" i="9" s="1"/>
  <c r="B22" i="9" s="1"/>
  <c r="B23" i="9" s="1"/>
  <c r="B24" i="9" s="1"/>
  <c r="B25" i="9" s="1"/>
  <c r="B26" i="9" s="1"/>
  <c r="B27" i="9" s="1"/>
  <c r="B28" i="9" s="1"/>
  <c r="B15" i="11" s="1"/>
  <c r="I9" i="11" s="1"/>
  <c r="D23" i="9"/>
  <c r="D22" i="9"/>
  <c r="D21" i="9"/>
  <c r="D20" i="9"/>
  <c r="D19" i="9"/>
  <c r="D18" i="9"/>
  <c r="C28" i="9"/>
  <c r="C27" i="9"/>
  <c r="C26" i="9"/>
  <c r="C25" i="9"/>
  <c r="C24" i="9"/>
  <c r="B16" i="9"/>
  <c r="B2" i="9"/>
  <c r="D14" i="9"/>
  <c r="D13" i="9"/>
  <c r="D12" i="9"/>
  <c r="D11" i="9"/>
  <c r="D10" i="9"/>
  <c r="C11" i="9"/>
  <c r="D9" i="9"/>
  <c r="D8" i="9"/>
  <c r="D7" i="9"/>
  <c r="D6" i="9"/>
  <c r="D5" i="9"/>
  <c r="B2" i="3"/>
  <c r="H87" i="3"/>
  <c r="G87" i="3"/>
  <c r="F87" i="3"/>
  <c r="E87" i="3"/>
  <c r="D87" i="3"/>
  <c r="C87" i="3"/>
  <c r="H85" i="3"/>
  <c r="G85" i="3"/>
  <c r="F85" i="3"/>
  <c r="E85" i="3"/>
  <c r="D85" i="3"/>
  <c r="C85" i="3"/>
  <c r="H84" i="3"/>
  <c r="G84" i="3"/>
  <c r="F84" i="3"/>
  <c r="E84" i="3"/>
  <c r="D84" i="3"/>
  <c r="C84" i="3"/>
  <c r="H83" i="3"/>
  <c r="G83" i="3"/>
  <c r="F83" i="3"/>
  <c r="E83" i="3"/>
  <c r="D83" i="3"/>
  <c r="C83" i="3"/>
  <c r="H82" i="3"/>
  <c r="G82" i="3"/>
  <c r="F82" i="3"/>
  <c r="E82" i="3"/>
  <c r="D82" i="3"/>
  <c r="C82" i="3"/>
  <c r="H20" i="3"/>
  <c r="G20" i="3"/>
  <c r="F20" i="3"/>
  <c r="E20" i="3"/>
  <c r="D20" i="3"/>
  <c r="C20" i="3"/>
  <c r="F34" i="2"/>
  <c r="C3" i="6"/>
  <c r="H42" i="8"/>
  <c r="G42" i="8"/>
  <c r="F42" i="8"/>
  <c r="E42" i="8"/>
  <c r="D42" i="8"/>
  <c r="C42" i="8"/>
  <c r="H35" i="8"/>
  <c r="G35" i="8"/>
  <c r="F35" i="8"/>
  <c r="E35" i="8"/>
  <c r="D35" i="8"/>
  <c r="C35" i="8"/>
  <c r="H41" i="8"/>
  <c r="G41" i="8"/>
  <c r="F41" i="8"/>
  <c r="E41" i="8"/>
  <c r="D41" i="8"/>
  <c r="C41" i="8"/>
  <c r="H40" i="8"/>
  <c r="G40" i="8"/>
  <c r="F40" i="8"/>
  <c r="E40" i="8"/>
  <c r="D40" i="8"/>
  <c r="C40" i="8"/>
  <c r="H39" i="8"/>
  <c r="G39" i="8"/>
  <c r="F39" i="8"/>
  <c r="E39" i="8"/>
  <c r="D39" i="8"/>
  <c r="C39" i="8"/>
  <c r="H38" i="8"/>
  <c r="G38" i="8"/>
  <c r="F38" i="8"/>
  <c r="E38" i="8"/>
  <c r="D38" i="8"/>
  <c r="C38" i="8"/>
  <c r="H37" i="8"/>
  <c r="G37" i="8"/>
  <c r="F37" i="8"/>
  <c r="E37" i="8"/>
  <c r="D37" i="8"/>
  <c r="C37" i="8"/>
  <c r="H36" i="8"/>
  <c r="G36" i="8"/>
  <c r="F36" i="8"/>
  <c r="E36" i="8"/>
  <c r="D36" i="8"/>
  <c r="C36" i="8"/>
  <c r="H33" i="8"/>
  <c r="G33" i="8"/>
  <c r="F33" i="8"/>
  <c r="E33" i="8"/>
  <c r="D33" i="8"/>
  <c r="C33" i="8"/>
  <c r="H32" i="8"/>
  <c r="G32" i="8"/>
  <c r="F32" i="8"/>
  <c r="E32" i="8"/>
  <c r="D32" i="8"/>
  <c r="C32" i="8"/>
  <c r="H31" i="8"/>
  <c r="G31" i="8"/>
  <c r="F31" i="8"/>
  <c r="E31" i="8"/>
  <c r="D31" i="8"/>
  <c r="C31" i="8"/>
  <c r="H30" i="8"/>
  <c r="G30" i="8"/>
  <c r="F30" i="8"/>
  <c r="E30" i="8"/>
  <c r="D30" i="8"/>
  <c r="C30" i="8"/>
  <c r="H29" i="8"/>
  <c r="G29" i="8"/>
  <c r="F29" i="8"/>
  <c r="E29" i="8"/>
  <c r="D29" i="8"/>
  <c r="C29" i="8"/>
  <c r="H27" i="8"/>
  <c r="G27" i="8"/>
  <c r="F27" i="8"/>
  <c r="E27" i="8"/>
  <c r="D27" i="8"/>
  <c r="C27" i="8"/>
  <c r="H4" i="8"/>
  <c r="G4" i="8"/>
  <c r="F4" i="8"/>
  <c r="E4" i="8"/>
  <c r="D4" i="8"/>
  <c r="C4" i="8"/>
  <c r="B41" i="8"/>
  <c r="B40" i="8"/>
  <c r="B39" i="8"/>
  <c r="B38" i="8"/>
  <c r="B37" i="8"/>
  <c r="B36" i="8"/>
  <c r="B33" i="8"/>
  <c r="B32" i="8"/>
  <c r="B31" i="8"/>
  <c r="B30" i="8"/>
  <c r="B25" i="8"/>
  <c r="B2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D7" i="8"/>
  <c r="C7" i="8"/>
  <c r="H6" i="8"/>
  <c r="G6" i="8"/>
  <c r="F6" i="8"/>
  <c r="E6" i="8"/>
  <c r="D6" i="8"/>
  <c r="C6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9"/>
  <c r="B6" i="9" s="1"/>
  <c r="B7" i="9" s="1"/>
  <c r="C12" i="9" l="1"/>
  <c r="C21" i="11" s="1"/>
  <c r="G21" i="11" s="1"/>
  <c r="D29" i="11" s="1"/>
  <c r="E25" i="9"/>
  <c r="F21" i="9"/>
  <c r="F20" i="9"/>
  <c r="F22" i="9"/>
  <c r="F23" i="9"/>
  <c r="F18" i="9"/>
  <c r="F19" i="9"/>
  <c r="B12" i="11"/>
  <c r="I6" i="11" s="1"/>
  <c r="B7" i="11"/>
  <c r="B8" i="11"/>
  <c r="B9" i="11"/>
  <c r="F12" i="10"/>
  <c r="E12" i="10" s="1"/>
  <c r="J12" i="10" s="1"/>
  <c r="D12" i="10"/>
  <c r="I12" i="10" s="1"/>
  <c r="B10" i="11"/>
  <c r="B11" i="11"/>
  <c r="I5" i="11" s="1"/>
  <c r="B6" i="11"/>
  <c r="B13" i="11"/>
  <c r="I7" i="11" s="1"/>
  <c r="B14" i="11"/>
  <c r="I8" i="11" s="1"/>
  <c r="G19" i="11"/>
  <c r="D27" i="11" s="1"/>
  <c r="C13" i="10"/>
  <c r="C20" i="11"/>
  <c r="G20" i="11" s="1"/>
  <c r="D28" i="11" s="1"/>
  <c r="E19" i="11"/>
  <c r="I11" i="10"/>
  <c r="I10" i="10"/>
  <c r="J11" i="10"/>
  <c r="K11" i="10" s="1"/>
  <c r="J7" i="10"/>
  <c r="I8" i="10"/>
  <c r="I9" i="10"/>
  <c r="J9" i="10"/>
  <c r="K9" i="10" s="1"/>
  <c r="J10" i="10"/>
  <c r="I7" i="10"/>
  <c r="J8" i="10"/>
  <c r="K8" i="10" s="1"/>
  <c r="H6" i="10"/>
  <c r="G6" i="10"/>
  <c r="H10" i="10"/>
  <c r="H11" i="10"/>
  <c r="B12" i="10"/>
  <c r="B13" i="10" s="1"/>
  <c r="B14" i="10" s="1"/>
  <c r="B15" i="10" s="1"/>
  <c r="B16" i="10" s="1"/>
  <c r="G7" i="10"/>
  <c r="G11" i="10"/>
  <c r="H7" i="10"/>
  <c r="H9" i="10"/>
  <c r="G10" i="10"/>
  <c r="H8" i="10"/>
  <c r="G8" i="10"/>
  <c r="G9" i="10"/>
  <c r="D24" i="9"/>
  <c r="D25" i="9"/>
  <c r="B8" i="9"/>
  <c r="B9" i="9" s="1"/>
  <c r="B10" i="9" s="1"/>
  <c r="G19" i="9" l="1"/>
  <c r="F5" i="11"/>
  <c r="G18" i="9"/>
  <c r="G23" i="9"/>
  <c r="G22" i="9"/>
  <c r="G20" i="9"/>
  <c r="G21" i="9"/>
  <c r="C14" i="10"/>
  <c r="D14" i="10" s="1"/>
  <c r="D26" i="9"/>
  <c r="C13" i="9"/>
  <c r="E26" i="9"/>
  <c r="F13" i="10"/>
  <c r="E13" i="10" s="1"/>
  <c r="J13" i="10" s="1"/>
  <c r="D13" i="10"/>
  <c r="I13" i="10" s="1"/>
  <c r="B11" i="9"/>
  <c r="B19" i="11"/>
  <c r="B27" i="11" s="1"/>
  <c r="B5" i="12"/>
  <c r="E21" i="11"/>
  <c r="E20" i="11"/>
  <c r="K10" i="10"/>
  <c r="K12" i="10"/>
  <c r="E11" i="11" s="1"/>
  <c r="K7" i="10"/>
  <c r="B2" i="6"/>
  <c r="H3" i="6"/>
  <c r="G3" i="6"/>
  <c r="F3" i="6"/>
  <c r="E3" i="6"/>
  <c r="D3" i="6"/>
  <c r="F14" i="10" l="1"/>
  <c r="E14" i="10" s="1"/>
  <c r="J14" i="10" s="1"/>
  <c r="C14" i="9"/>
  <c r="E27" i="9"/>
  <c r="C22" i="11"/>
  <c r="D27" i="9"/>
  <c r="C15" i="10"/>
  <c r="F24" i="9"/>
  <c r="D11" i="11"/>
  <c r="B12" i="9"/>
  <c r="B20" i="11"/>
  <c r="B28" i="11" s="1"/>
  <c r="B6" i="12"/>
  <c r="I14" i="10"/>
  <c r="K13" i="10"/>
  <c r="E12" i="11" s="1"/>
  <c r="H78" i="3"/>
  <c r="G78" i="3"/>
  <c r="F78" i="3"/>
  <c r="E78" i="3"/>
  <c r="D78" i="3"/>
  <c r="C78" i="3"/>
  <c r="H76" i="3"/>
  <c r="G76" i="3"/>
  <c r="F76" i="3"/>
  <c r="E76" i="3"/>
  <c r="D76" i="3"/>
  <c r="C76" i="3"/>
  <c r="H74" i="3"/>
  <c r="G74" i="3"/>
  <c r="F74" i="3"/>
  <c r="E74" i="3"/>
  <c r="D74" i="3"/>
  <c r="C74" i="3"/>
  <c r="H60" i="3"/>
  <c r="G60" i="3"/>
  <c r="F60" i="3"/>
  <c r="E60" i="3"/>
  <c r="D60" i="3"/>
  <c r="C60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37" i="3"/>
  <c r="G37" i="3"/>
  <c r="G42" i="3" s="1"/>
  <c r="F37" i="3"/>
  <c r="F42" i="3" s="1"/>
  <c r="E37" i="3"/>
  <c r="E42" i="3" s="1"/>
  <c r="D37" i="3"/>
  <c r="D42" i="3" s="1"/>
  <c r="C37" i="3"/>
  <c r="C42" i="3" s="1"/>
  <c r="C9" i="6" s="1"/>
  <c r="H31" i="3"/>
  <c r="G31" i="3"/>
  <c r="F31" i="3"/>
  <c r="E31" i="3"/>
  <c r="D31" i="3"/>
  <c r="C31" i="3"/>
  <c r="H25" i="3"/>
  <c r="G25" i="3"/>
  <c r="F25" i="3"/>
  <c r="E25" i="3"/>
  <c r="D25" i="3"/>
  <c r="C25" i="3"/>
  <c r="H22" i="3"/>
  <c r="G22" i="3"/>
  <c r="F22" i="3"/>
  <c r="E22" i="3"/>
  <c r="D22" i="3"/>
  <c r="C22" i="3"/>
  <c r="H15" i="3"/>
  <c r="G15" i="3"/>
  <c r="F15" i="3"/>
  <c r="E15" i="3"/>
  <c r="D15" i="3"/>
  <c r="C15" i="3"/>
  <c r="H9" i="3"/>
  <c r="G9" i="3"/>
  <c r="F9" i="3"/>
  <c r="E9" i="3"/>
  <c r="D9" i="3"/>
  <c r="C9" i="3"/>
  <c r="H6" i="3"/>
  <c r="G6" i="3"/>
  <c r="F6" i="3"/>
  <c r="E6" i="3"/>
  <c r="D6" i="3"/>
  <c r="C6" i="3"/>
  <c r="H3" i="3"/>
  <c r="C3" i="3"/>
  <c r="D3" i="3"/>
  <c r="E3" i="3"/>
  <c r="F3" i="3"/>
  <c r="G3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H21" i="8" s="1"/>
  <c r="J34" i="2"/>
  <c r="G21" i="8" s="1"/>
  <c r="I34" i="2"/>
  <c r="F21" i="8" s="1"/>
  <c r="H34" i="2"/>
  <c r="E21" i="8" s="1"/>
  <c r="G34" i="2"/>
  <c r="D21" i="8" s="1"/>
  <c r="C21" i="8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G24" i="9" l="1"/>
  <c r="C11" i="11" s="1"/>
  <c r="F11" i="11" s="1"/>
  <c r="C27" i="11" s="1"/>
  <c r="E27" i="11" s="1"/>
  <c r="F15" i="10"/>
  <c r="E15" i="10" s="1"/>
  <c r="D15" i="10"/>
  <c r="G22" i="11"/>
  <c r="D30" i="11" s="1"/>
  <c r="E22" i="11"/>
  <c r="K14" i="10"/>
  <c r="E13" i="11" s="1"/>
  <c r="C16" i="10"/>
  <c r="E28" i="9"/>
  <c r="D15" i="11" s="1"/>
  <c r="C23" i="11"/>
  <c r="D28" i="9"/>
  <c r="F26" i="9"/>
  <c r="D13" i="11"/>
  <c r="F25" i="9"/>
  <c r="D12" i="11"/>
  <c r="F27" i="9"/>
  <c r="D14" i="11"/>
  <c r="B13" i="9"/>
  <c r="B21" i="11"/>
  <c r="B29" i="11" s="1"/>
  <c r="B7" i="12"/>
  <c r="C41" i="6"/>
  <c r="C39" i="6"/>
  <c r="C27" i="6"/>
  <c r="C34" i="6" s="1"/>
  <c r="C28" i="6"/>
  <c r="C35" i="6" s="1"/>
  <c r="C29" i="6"/>
  <c r="C36" i="6" s="1"/>
  <c r="C30" i="6"/>
  <c r="C31" i="6"/>
  <c r="F10" i="3"/>
  <c r="D10" i="3"/>
  <c r="D9" i="6"/>
  <c r="C23" i="3"/>
  <c r="C26" i="3"/>
  <c r="C18" i="6" s="1"/>
  <c r="F9" i="6"/>
  <c r="D23" i="3"/>
  <c r="D26" i="3"/>
  <c r="D18" i="6" s="1"/>
  <c r="C16" i="3"/>
  <c r="C17" i="6" s="1"/>
  <c r="E23" i="3"/>
  <c r="E26" i="3"/>
  <c r="E18" i="6" s="1"/>
  <c r="E16" i="3"/>
  <c r="E17" i="6" s="1"/>
  <c r="G23" i="3"/>
  <c r="G26" i="3"/>
  <c r="G18" i="6" s="1"/>
  <c r="G16" i="3"/>
  <c r="G17" i="6" s="1"/>
  <c r="H10" i="3"/>
  <c r="C10" i="3"/>
  <c r="D16" i="3"/>
  <c r="D17" i="6" s="1"/>
  <c r="F23" i="3"/>
  <c r="F26" i="3"/>
  <c r="F18" i="6" s="1"/>
  <c r="H39" i="6"/>
  <c r="H41" i="6"/>
  <c r="D7" i="3"/>
  <c r="D5" i="6" s="1"/>
  <c r="D29" i="6"/>
  <c r="D36" i="6" s="1"/>
  <c r="D30" i="6"/>
  <c r="D31" i="6"/>
  <c r="D27" i="6"/>
  <c r="D34" i="6" s="1"/>
  <c r="D28" i="6"/>
  <c r="D35" i="6" s="1"/>
  <c r="E10" i="3"/>
  <c r="F16" i="3"/>
  <c r="F17" i="6" s="1"/>
  <c r="H23" i="3"/>
  <c r="H26" i="3"/>
  <c r="H18" i="6" s="1"/>
  <c r="G9" i="6"/>
  <c r="C7" i="3"/>
  <c r="C5" i="6" s="1"/>
  <c r="F29" i="6"/>
  <c r="F36" i="6" s="1"/>
  <c r="F30" i="6"/>
  <c r="F31" i="6"/>
  <c r="F27" i="6"/>
  <c r="F34" i="6" s="1"/>
  <c r="F28" i="6"/>
  <c r="F35" i="6" s="1"/>
  <c r="F7" i="3"/>
  <c r="F5" i="6" s="1"/>
  <c r="G10" i="3"/>
  <c r="H16" i="3"/>
  <c r="H17" i="6" s="1"/>
  <c r="E29" i="6"/>
  <c r="E36" i="6" s="1"/>
  <c r="E31" i="6"/>
  <c r="E28" i="6"/>
  <c r="E35" i="6" s="1"/>
  <c r="E30" i="6"/>
  <c r="E27" i="6"/>
  <c r="E34" i="6" s="1"/>
  <c r="E7" i="3"/>
  <c r="E5" i="6" s="1"/>
  <c r="G30" i="6"/>
  <c r="G31" i="6"/>
  <c r="G27" i="6"/>
  <c r="G34" i="6" s="1"/>
  <c r="G28" i="6"/>
  <c r="G35" i="6" s="1"/>
  <c r="G7" i="3"/>
  <c r="G5" i="6" s="1"/>
  <c r="G29" i="6"/>
  <c r="G36" i="6" s="1"/>
  <c r="D41" i="6"/>
  <c r="D39" i="6"/>
  <c r="H30" i="6"/>
  <c r="H7" i="3"/>
  <c r="H5" i="6" s="1"/>
  <c r="H29" i="6"/>
  <c r="H36" i="6" s="1"/>
  <c r="H31" i="6"/>
  <c r="H27" i="6"/>
  <c r="H34" i="6" s="1"/>
  <c r="H28" i="6"/>
  <c r="H35" i="6" s="1"/>
  <c r="E39" i="6"/>
  <c r="E41" i="6"/>
  <c r="F39" i="6"/>
  <c r="F41" i="6"/>
  <c r="E9" i="6"/>
  <c r="G39" i="6"/>
  <c r="G41" i="6"/>
  <c r="D66" i="3"/>
  <c r="E61" i="3"/>
  <c r="C66" i="3"/>
  <c r="E66" i="3"/>
  <c r="F61" i="3"/>
  <c r="D61" i="3"/>
  <c r="F66" i="3"/>
  <c r="G61" i="3"/>
  <c r="G66" i="3"/>
  <c r="H61" i="3"/>
  <c r="E80" i="3"/>
  <c r="H66" i="3"/>
  <c r="C61" i="3"/>
  <c r="F80" i="3"/>
  <c r="H42" i="3"/>
  <c r="H9" i="6" s="1"/>
  <c r="G12" i="3"/>
  <c r="F12" i="3"/>
  <c r="C12" i="3"/>
  <c r="H12" i="3"/>
  <c r="D12" i="3"/>
  <c r="E12" i="3"/>
  <c r="F28" i="9" l="1"/>
  <c r="G28" i="9" s="1"/>
  <c r="C15" i="11" s="1"/>
  <c r="G26" i="9"/>
  <c r="C13" i="11" s="1"/>
  <c r="F13" i="11" s="1"/>
  <c r="D5" i="12"/>
  <c r="F5" i="12" s="1"/>
  <c r="G25" i="9"/>
  <c r="C12" i="11" s="1"/>
  <c r="F12" i="11" s="1"/>
  <c r="C28" i="11" s="1"/>
  <c r="E28" i="11" s="1"/>
  <c r="G27" i="9"/>
  <c r="C14" i="11" s="1"/>
  <c r="G23" i="11"/>
  <c r="D31" i="11" s="1"/>
  <c r="E23" i="11"/>
  <c r="D16" i="10"/>
  <c r="I16" i="10" s="1"/>
  <c r="F16" i="10"/>
  <c r="E16" i="10" s="1"/>
  <c r="J16" i="10" s="1"/>
  <c r="I15" i="10"/>
  <c r="J15" i="10"/>
  <c r="B14" i="9"/>
  <c r="B8" i="12"/>
  <c r="B22" i="11"/>
  <c r="B30" i="11" s="1"/>
  <c r="C13" i="3"/>
  <c r="C11" i="6" s="1"/>
  <c r="C18" i="3"/>
  <c r="D13" i="3"/>
  <c r="D11" i="6" s="1"/>
  <c r="D18" i="3"/>
  <c r="H13" i="3"/>
  <c r="H11" i="6" s="1"/>
  <c r="H18" i="3"/>
  <c r="F13" i="3"/>
  <c r="F11" i="6" s="1"/>
  <c r="F18" i="3"/>
  <c r="G13" i="3"/>
  <c r="G11" i="6" s="1"/>
  <c r="G18" i="3"/>
  <c r="E13" i="3"/>
  <c r="E11" i="6" s="1"/>
  <c r="E18" i="3"/>
  <c r="C37" i="6"/>
  <c r="E68" i="3"/>
  <c r="E70" i="3" s="1"/>
  <c r="H37" i="6"/>
  <c r="D37" i="6"/>
  <c r="K9" i="6"/>
  <c r="K39" i="6"/>
  <c r="J39" i="6"/>
  <c r="E37" i="6"/>
  <c r="J41" i="6"/>
  <c r="K18" i="6"/>
  <c r="J18" i="6"/>
  <c r="F37" i="6"/>
  <c r="J28" i="6"/>
  <c r="K28" i="6"/>
  <c r="K41" i="6"/>
  <c r="K17" i="6"/>
  <c r="J17" i="6"/>
  <c r="K36" i="6"/>
  <c r="K29" i="6"/>
  <c r="J29" i="6"/>
  <c r="G37" i="6"/>
  <c r="J5" i="6"/>
  <c r="J9" i="6"/>
  <c r="J34" i="6"/>
  <c r="K27" i="6"/>
  <c r="J27" i="6"/>
  <c r="K30" i="6"/>
  <c r="J30" i="6"/>
  <c r="G68" i="3"/>
  <c r="K5" i="6"/>
  <c r="K31" i="6"/>
  <c r="J31" i="6"/>
  <c r="C80" i="3"/>
  <c r="F68" i="3"/>
  <c r="D68" i="3"/>
  <c r="G80" i="3"/>
  <c r="D80" i="3"/>
  <c r="H80" i="3"/>
  <c r="C68" i="3"/>
  <c r="C40" i="6" s="1"/>
  <c r="H68" i="3"/>
  <c r="C29" i="11" l="1"/>
  <c r="E29" i="11" s="1"/>
  <c r="D7" i="12" s="1"/>
  <c r="F7" i="12" s="1"/>
  <c r="K16" i="10"/>
  <c r="E15" i="11" s="1"/>
  <c r="K15" i="10"/>
  <c r="E14" i="11" s="1"/>
  <c r="D6" i="12"/>
  <c r="F6" i="12" s="1"/>
  <c r="B23" i="11"/>
  <c r="B31" i="11" s="1"/>
  <c r="B9" i="12"/>
  <c r="E40" i="6"/>
  <c r="C21" i="6"/>
  <c r="C6" i="6"/>
  <c r="J36" i="6"/>
  <c r="E21" i="6"/>
  <c r="E19" i="3"/>
  <c r="E12" i="6" s="1"/>
  <c r="E6" i="6"/>
  <c r="H70" i="3"/>
  <c r="H40" i="6"/>
  <c r="D6" i="6"/>
  <c r="D21" i="6"/>
  <c r="D19" i="3"/>
  <c r="D12" i="6" s="1"/>
  <c r="H19" i="3"/>
  <c r="H12" i="6" s="1"/>
  <c r="H21" i="6"/>
  <c r="H6" i="6"/>
  <c r="K11" i="6"/>
  <c r="J11" i="6"/>
  <c r="K35" i="6"/>
  <c r="J35" i="6"/>
  <c r="G70" i="3"/>
  <c r="G40" i="6"/>
  <c r="C19" i="3"/>
  <c r="C12" i="6" s="1"/>
  <c r="F19" i="3"/>
  <c r="F12" i="6" s="1"/>
  <c r="F6" i="6"/>
  <c r="F21" i="6"/>
  <c r="C70" i="3"/>
  <c r="G19" i="3"/>
  <c r="G12" i="6" s="1"/>
  <c r="G6" i="6"/>
  <c r="G21" i="6"/>
  <c r="D70" i="3"/>
  <c r="D40" i="6"/>
  <c r="F70" i="3"/>
  <c r="F40" i="6"/>
  <c r="K34" i="6"/>
  <c r="F28" i="3"/>
  <c r="G28" i="3"/>
  <c r="C28" i="3"/>
  <c r="E28" i="3"/>
  <c r="D28" i="3"/>
  <c r="H28" i="3"/>
  <c r="F15" i="11" l="1"/>
  <c r="F14" i="11"/>
  <c r="C25" i="6"/>
  <c r="C7" i="6"/>
  <c r="C13" i="6"/>
  <c r="C19" i="6" s="1"/>
  <c r="E29" i="3"/>
  <c r="E14" i="6" s="1"/>
  <c r="E25" i="6"/>
  <c r="E7" i="6"/>
  <c r="E13" i="6"/>
  <c r="E19" i="6" s="1"/>
  <c r="E32" i="3"/>
  <c r="C29" i="3"/>
  <c r="C14" i="6" s="1"/>
  <c r="C32" i="3"/>
  <c r="K6" i="6"/>
  <c r="J6" i="6"/>
  <c r="G7" i="6"/>
  <c r="G29" i="3"/>
  <c r="G14" i="6" s="1"/>
  <c r="G25" i="6"/>
  <c r="G13" i="6"/>
  <c r="G19" i="6" s="1"/>
  <c r="G32" i="3"/>
  <c r="J12" i="6"/>
  <c r="J21" i="6"/>
  <c r="F7" i="6"/>
  <c r="F29" i="3"/>
  <c r="F14" i="6" s="1"/>
  <c r="F25" i="6"/>
  <c r="F13" i="6"/>
  <c r="F19" i="6" s="1"/>
  <c r="F32" i="3"/>
  <c r="K37" i="6"/>
  <c r="J37" i="6"/>
  <c r="D13" i="6"/>
  <c r="D19" i="6" s="1"/>
  <c r="D29" i="3"/>
  <c r="D14" i="6" s="1"/>
  <c r="D25" i="6"/>
  <c r="D7" i="6"/>
  <c r="D32" i="3"/>
  <c r="K40" i="6"/>
  <c r="J40" i="6"/>
  <c r="K12" i="6"/>
  <c r="H7" i="6"/>
  <c r="H29" i="3"/>
  <c r="H14" i="6" s="1"/>
  <c r="H25" i="6"/>
  <c r="H13" i="6"/>
  <c r="H19" i="6" s="1"/>
  <c r="H32" i="3"/>
  <c r="K21" i="6"/>
  <c r="F34" i="3"/>
  <c r="G34" i="3"/>
  <c r="G39" i="3" s="1"/>
  <c r="H34" i="3"/>
  <c r="D34" i="3"/>
  <c r="C34" i="3"/>
  <c r="E34" i="3"/>
  <c r="C30" i="11" l="1"/>
  <c r="E30" i="11" s="1"/>
  <c r="D8" i="12" s="1"/>
  <c r="F8" i="12" s="1"/>
  <c r="C31" i="11"/>
  <c r="E31" i="11" s="1"/>
  <c r="D9" i="12" s="1"/>
  <c r="K8" i="12" s="1"/>
  <c r="D10" i="12" s="1"/>
  <c r="F10" i="12" s="1"/>
  <c r="C8" i="6"/>
  <c r="C23" i="6"/>
  <c r="K7" i="6"/>
  <c r="J7" i="6"/>
  <c r="K25" i="6"/>
  <c r="J25" i="6"/>
  <c r="G8" i="6"/>
  <c r="G23" i="6"/>
  <c r="G35" i="3"/>
  <c r="G15" i="6" s="1"/>
  <c r="K19" i="6"/>
  <c r="K13" i="6"/>
  <c r="J13" i="6"/>
  <c r="E8" i="6"/>
  <c r="E23" i="6"/>
  <c r="E35" i="3"/>
  <c r="E15" i="6" s="1"/>
  <c r="F39" i="3"/>
  <c r="G40" i="3" s="1"/>
  <c r="F8" i="6"/>
  <c r="F23" i="6"/>
  <c r="F35" i="3"/>
  <c r="F15" i="6" s="1"/>
  <c r="J14" i="6"/>
  <c r="K14" i="6"/>
  <c r="H23" i="6"/>
  <c r="H8" i="6"/>
  <c r="H35" i="3"/>
  <c r="H15" i="6" s="1"/>
  <c r="C35" i="3"/>
  <c r="C15" i="6" s="1"/>
  <c r="D8" i="6"/>
  <c r="D23" i="6"/>
  <c r="D35" i="3"/>
  <c r="D15" i="6" s="1"/>
  <c r="G43" i="3"/>
  <c r="G45" i="3" s="1"/>
  <c r="G22" i="6" s="1"/>
  <c r="E39" i="3"/>
  <c r="D39" i="3"/>
  <c r="C39" i="3"/>
  <c r="H39" i="3"/>
  <c r="F9" i="12" l="1"/>
  <c r="F12" i="12" s="1"/>
  <c r="E18" i="12" s="1"/>
  <c r="E20" i="12" s="1"/>
  <c r="E23" i="12" s="1"/>
  <c r="E26" i="12" s="1"/>
  <c r="K15" i="6"/>
  <c r="F40" i="3"/>
  <c r="J15" i="6"/>
  <c r="J23" i="6"/>
  <c r="F43" i="3"/>
  <c r="F45" i="3" s="1"/>
  <c r="F22" i="6" s="1"/>
  <c r="F24" i="6" s="1"/>
  <c r="K8" i="6"/>
  <c r="J8" i="6"/>
  <c r="J19" i="6"/>
  <c r="G24" i="6"/>
  <c r="K23" i="6"/>
  <c r="D40" i="3"/>
  <c r="D43" i="3"/>
  <c r="D45" i="3" s="1"/>
  <c r="D22" i="6" s="1"/>
  <c r="D24" i="6" s="1"/>
  <c r="C40" i="3"/>
  <c r="C43" i="3"/>
  <c r="C45" i="3" s="1"/>
  <c r="C22" i="6" s="1"/>
  <c r="C24" i="6" s="1"/>
  <c r="E40" i="3"/>
  <c r="E43" i="3"/>
  <c r="E45" i="3" s="1"/>
  <c r="E22" i="6" s="1"/>
  <c r="E24" i="6" s="1"/>
  <c r="H40" i="3"/>
  <c r="H43" i="3"/>
  <c r="H45" i="3" s="1"/>
  <c r="H22" i="6" s="1"/>
  <c r="H24" i="6" s="1"/>
  <c r="H18" i="12" l="1"/>
  <c r="K22" i="6"/>
  <c r="J22" i="6"/>
  <c r="J24" i="6"/>
  <c r="K2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Vinayak Tarafdar</author>
  </authors>
  <commentList>
    <comment ref="G17" authorId="0" shapeId="0" xr:uid="{5AFDDF3C-3638-4B23-BB9F-170A0E91D737}">
      <text>
        <r>
          <rPr>
            <sz val="9"/>
            <color indexed="81"/>
            <rFont val="Tahoma"/>
            <family val="2"/>
          </rPr>
          <t xml:space="preserve">NOPAT = EBIT(1-Tax Rate)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<sst xmlns="http://schemas.openxmlformats.org/spreadsheetml/2006/main" count="281" uniqueCount="204">
  <si>
    <t>COMPANY NAME</t>
  </si>
  <si>
    <t>DIXON TECHNOLOGIES (INDIA)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</si>
  <si>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</si>
  <si>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</si>
  <si>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</si>
  <si>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</si>
  <si>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</si>
  <si>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</si>
  <si>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</si>
  <si>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</si>
  <si>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</si>
  <si>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</si>
  <si>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</si>
  <si>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</si>
  <si>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</si>
  <si>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</si>
  <si>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</si>
  <si>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</si>
  <si>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</si>
  <si>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</si>
  <si>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</si>
  <si>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</si>
  <si>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</si>
  <si>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</si>
  <si>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</si>
  <si>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</si>
  <si>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</si>
  <si>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</si>
  <si>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</si>
  <si>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</si>
  <si>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</si>
  <si>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</si>
  <si>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</si>
  <si>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</si>
  <si>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</si>
  <si>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</si>
  <si>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</si>
  <si>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</si>
  <si>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</si>
  <si>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</si>
  <si>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</si>
  <si>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</si>
  <si>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</si>
  <si>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</si>
  <si>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</si>
  <si>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</si>
  <si>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</si>
  <si>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</si>
  <si>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</si>
  <si>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</si>
  <si>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</si>
  <si>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</si>
  <si>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</si>
  <si>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</si>
  <si>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</si>
  <si>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</si>
  <si>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</si>
  <si>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Income Statement</t>
  </si>
  <si>
    <t>#</t>
  </si>
  <si>
    <t>Sales Growth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</si>
  <si>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</si>
  <si>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</si>
  <si>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</si>
  <si>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</si>
  <si>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</si>
  <si>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</si>
  <si>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</si>
  <si>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</si>
  <si>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</si>
  <si>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</si>
  <si>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</si>
  <si>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</si>
  <si>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</si>
  <si>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</si>
  <si>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</si>
  <si>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</si>
  <si>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</si>
  <si>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</si>
  <si>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</si>
  <si>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</si>
  <si>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</si>
  <si>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</si>
  <si>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</si>
  <si>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</si>
  <si>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</si>
  <si>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</si>
  <si>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</si>
  <si>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</si>
  <si>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</si>
  <si>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</si>
  <si>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Gross Margin</t>
  </si>
  <si>
    <t>EBITDA Margin</t>
  </si>
  <si>
    <t>OperatingIncome%Sales</t>
  </si>
  <si>
    <t>SalesExpenses%Sales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</si>
  <si>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</si>
  <si>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</si>
  <si>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</si>
  <si>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</si>
  <si>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</si>
  <si>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</si>
  <si>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</si>
  <si>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EBIT Margin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</si>
  <si>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</si>
  <si>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</si>
  <si>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</si>
  <si>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</si>
  <si>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</si>
  <si>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</si>
  <si>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Debtor Days</t>
  </si>
  <si>
    <t>Creditor Turnover Ratio</t>
  </si>
  <si>
    <t>Payable Days</t>
  </si>
  <si>
    <t>Capital Turnover Ratio</t>
  </si>
  <si>
    <t>Inventory Days</t>
  </si>
  <si>
    <t>Cash Conversion Cycle</t>
  </si>
  <si>
    <t>Return on Equity%</t>
  </si>
  <si>
    <t>Return on Capital Employed</t>
  </si>
  <si>
    <t>CFO/Sales</t>
  </si>
  <si>
    <t>CFO/Total Assets</t>
  </si>
  <si>
    <t>CFO/Total Debt</t>
  </si>
  <si>
    <t>(in Days)</t>
  </si>
  <si>
    <t>Mean</t>
  </si>
  <si>
    <t>Median</t>
  </si>
  <si>
    <t>Trend</t>
  </si>
  <si>
    <t>Year</t>
  </si>
  <si>
    <t>Particulars</t>
  </si>
  <si>
    <t>EBITDA (Operational)</t>
  </si>
  <si>
    <t>EBITDA (Screener)</t>
  </si>
  <si>
    <t>Note: EBITDA (Operating) excludes Other Income to reflect core operating performance, while EBITDA (Reported, as per Screener) includes Other Income, leading to the variance</t>
  </si>
  <si>
    <t>Opening Cash &amp; Cash Equivalents</t>
  </si>
  <si>
    <t>Closing Cash &amp; Cash Equivalents</t>
  </si>
  <si>
    <t>Adjusted Net Cash Flow</t>
  </si>
  <si>
    <t>Other Cash Adjustments (B/f)</t>
  </si>
  <si>
    <t>Note: Cash flow has been adjusted using a balancing figure to reconcile with balance sheet cash, as aggregated data may not capture all underlying movements.</t>
  </si>
  <si>
    <t>Revenue Growth Assumptions</t>
  </si>
  <si>
    <t xml:space="preserve"> </t>
  </si>
  <si>
    <t>EBITDA %</t>
  </si>
  <si>
    <t xml:space="preserve">EBITDA </t>
  </si>
  <si>
    <t>Revenue</t>
  </si>
  <si>
    <t>Receivable Days</t>
  </si>
  <si>
    <t>Assumptions</t>
  </si>
  <si>
    <t>Δ Receivables</t>
  </si>
  <si>
    <t>Δ Inventory</t>
  </si>
  <si>
    <t>Total WC Change</t>
  </si>
  <si>
    <t>Cash Flow from Operating Activities</t>
  </si>
  <si>
    <t>Δ WC</t>
  </si>
  <si>
    <t>CFO</t>
  </si>
  <si>
    <t>Working Capital Projections</t>
  </si>
  <si>
    <t>Capex and Depreciation</t>
  </si>
  <si>
    <t>Dep %</t>
  </si>
  <si>
    <t>Capex %</t>
  </si>
  <si>
    <t xml:space="preserve">Capex </t>
  </si>
  <si>
    <t xml:space="preserve">CFO </t>
  </si>
  <si>
    <t xml:space="preserve">Tax Rate </t>
  </si>
  <si>
    <t>Assumption</t>
  </si>
  <si>
    <t>Capex</t>
  </si>
  <si>
    <t>FCF</t>
  </si>
  <si>
    <t>Discounted Cash Flow</t>
  </si>
  <si>
    <t>Present Value</t>
  </si>
  <si>
    <t>Future Cash Flow</t>
  </si>
  <si>
    <t>Discounting Factor</t>
  </si>
  <si>
    <t>WACC</t>
  </si>
  <si>
    <t>Terminal Growth</t>
  </si>
  <si>
    <t>N</t>
  </si>
  <si>
    <t>Terminal Value</t>
  </si>
  <si>
    <t>TV</t>
  </si>
  <si>
    <t>Enterprise Value</t>
  </si>
  <si>
    <t>Valuation Summary</t>
  </si>
  <si>
    <t>Metric</t>
  </si>
  <si>
    <t>Value</t>
  </si>
  <si>
    <t>Implied Share Price</t>
  </si>
  <si>
    <t>Enterprise Value (Cr)</t>
  </si>
  <si>
    <t>Net Debt (Cr)</t>
  </si>
  <si>
    <t>Equity Value (Cr)</t>
  </si>
  <si>
    <t>Shares Outstanding (Cr)</t>
  </si>
  <si>
    <t>Upside/Downside (%)</t>
  </si>
  <si>
    <t>WACC (%)</t>
  </si>
  <si>
    <t>Terminal Growth (%)</t>
  </si>
  <si>
    <t>DCF Sensitivity (Implied Share Price -  ₹ Per Share)</t>
  </si>
  <si>
    <t>Scenario</t>
  </si>
  <si>
    <t>g</t>
  </si>
  <si>
    <t>Price</t>
  </si>
  <si>
    <t>Bear</t>
  </si>
  <si>
    <t>Base</t>
  </si>
  <si>
    <t>Bull</t>
  </si>
  <si>
    <t>Current Market Price = 10334.3</t>
  </si>
  <si>
    <t>Tax Rate</t>
  </si>
  <si>
    <t>Depreciation (% of Revenue)</t>
  </si>
  <si>
    <t>Capex (% of Revenue)</t>
  </si>
  <si>
    <t>Revenue Growth %</t>
  </si>
  <si>
    <t>COGS (% of Revenue)</t>
  </si>
  <si>
    <t>Risk Free Rate</t>
  </si>
  <si>
    <t>Market Return</t>
  </si>
  <si>
    <t>Beta</t>
  </si>
  <si>
    <t>Cost of Debt</t>
  </si>
  <si>
    <t>Debt/(Equity + Debt)</t>
  </si>
  <si>
    <t>Equity/(Equity + Debt)</t>
  </si>
  <si>
    <t>Terminal Growth (g)</t>
  </si>
  <si>
    <t>EBIT</t>
  </si>
  <si>
    <t xml:space="preserve"> Assumptions</t>
  </si>
  <si>
    <t xml:space="preserve">EBITDA% </t>
  </si>
  <si>
    <t>Depreciation %</t>
  </si>
  <si>
    <t>NOPAT</t>
  </si>
  <si>
    <t>FCFF Unlevered</t>
  </si>
  <si>
    <t>EV/EBITDA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</si>
</sst>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&quot;x&quot;"/>
    <numFmt numFmtId="169" formatCode="0\ "/>
    <numFmt numFmtId="170" formatCode="#,##0.0"/>
    <numFmt numFmtId="171" formatCode="0&quot;E&quot;"/>
    <numFmt numFmtId="172" formatCode="#,##0.0;\(#,##0.0\)"/>
    <numFmt numFmtId="173" formatCode="0\A"/>
    <numFmt numFmtId="174" formatCode="0.0%"/>
    <numFmt numFmtId="175" formatCode="0&quot;A&quot;"/>
    <numFmt numFmtId="176" formatCode="General\ &quot;(Cr)&quot;"/>
    <numFmt numFmtId="177" formatCode="#,##0.00;\(#,##0.00\)"/>
    <numFmt numFmtId="178" formatCode="0.0\x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</font>
    <font>
      <i/>
      <sz val="11"/>
      <color theme="0" tint="-0.14999847407452621"/>
      <name val="Calibri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112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0" fontId="3" fillId="4" borderId="0" xfId="0" applyFont="1" applyFill="1"/>
    <xf numFmtId="0" fontId="0" fillId="4" borderId="0" xfId="0" applyFill="1"/>
    <xf numFmtId="0" fontId="3" fillId="0" borderId="1" xfId="0" applyFont="1" applyBorder="1"/>
    <xf numFmtId="167" fontId="3" fillId="0" borderId="1" xfId="0" applyNumberFormat="1" applyFont="1" applyBorder="1"/>
    <xf numFmtId="166" fontId="3" fillId="0" borderId="1" xfId="0" applyNumberFormat="1" applyFont="1" applyBorder="1"/>
    <xf numFmtId="10" fontId="0" fillId="0" borderId="0" xfId="0" applyNumberFormat="1"/>
    <xf numFmtId="168" fontId="0" fillId="0" borderId="0" xfId="0" applyNumberFormat="1"/>
    <xf numFmtId="0" fontId="15" fillId="0" borderId="0" xfId="0" applyFont="1"/>
    <xf numFmtId="169" fontId="0" fillId="0" borderId="0" xfId="0" applyNumberFormat="1"/>
    <xf numFmtId="0" fontId="0" fillId="0" borderId="2" xfId="0" applyBorder="1"/>
    <xf numFmtId="10" fontId="0" fillId="0" borderId="2" xfId="1" applyNumberFormat="1" applyFont="1" applyBorder="1"/>
    <xf numFmtId="168" fontId="0" fillId="0" borderId="2" xfId="0" applyNumberFormat="1" applyBorder="1"/>
    <xf numFmtId="169" fontId="0" fillId="0" borderId="2" xfId="0" applyNumberFormat="1" applyBorder="1"/>
    <xf numFmtId="10" fontId="0" fillId="0" borderId="2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71" fontId="0" fillId="0" borderId="0" xfId="0" applyNumberFormat="1" applyAlignment="1">
      <alignment horizontal="right" wrapText="1"/>
    </xf>
    <xf numFmtId="43" fontId="0" fillId="0" borderId="0" xfId="0" applyNumberFormat="1"/>
    <xf numFmtId="43" fontId="3" fillId="0" borderId="0" xfId="0" applyNumberFormat="1" applyFont="1"/>
    <xf numFmtId="10" fontId="1" fillId="0" borderId="0" xfId="1" applyNumberFormat="1" applyFont="1"/>
    <xf numFmtId="10" fontId="3" fillId="0" borderId="0" xfId="1" applyNumberFormat="1" applyFont="1"/>
    <xf numFmtId="0" fontId="2" fillId="6" borderId="0" xfId="0" applyFont="1" applyFill="1"/>
    <xf numFmtId="17" fontId="2" fillId="6" borderId="0" xfId="0" applyNumberFormat="1" applyFont="1" applyFill="1"/>
    <xf numFmtId="0" fontId="0" fillId="6" borderId="0" xfId="0" applyFill="1"/>
    <xf numFmtId="0" fontId="3" fillId="0" borderId="3" xfId="0" applyFont="1" applyBorder="1"/>
    <xf numFmtId="17" fontId="3" fillId="0" borderId="3" xfId="0" applyNumberFormat="1" applyFont="1" applyBorder="1"/>
    <xf numFmtId="10" fontId="18" fillId="6" borderId="0" xfId="1" applyNumberFormat="1" applyFont="1" applyFill="1"/>
    <xf numFmtId="2" fontId="14" fillId="0" borderId="0" xfId="1" applyNumberFormat="1" applyFont="1"/>
    <xf numFmtId="0" fontId="0" fillId="0" borderId="0" xfId="0" applyAlignment="1">
      <alignment vertical="center"/>
    </xf>
    <xf numFmtId="0" fontId="0" fillId="0" borderId="4" xfId="0" applyBorder="1"/>
    <xf numFmtId="10" fontId="0" fillId="0" borderId="4" xfId="1" applyNumberFormat="1" applyFont="1" applyBorder="1"/>
    <xf numFmtId="0" fontId="0" fillId="0" borderId="0" xfId="0" applyAlignment="1">
      <alignment horizontal="left" vertical="center"/>
    </xf>
    <xf numFmtId="0" fontId="3" fillId="0" borderId="5" xfId="0" applyFont="1" applyBorder="1"/>
    <xf numFmtId="166" fontId="3" fillId="0" borderId="5" xfId="0" applyNumberFormat="1" applyFont="1" applyBorder="1"/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172" fontId="0" fillId="0" borderId="0" xfId="0" applyNumberFormat="1"/>
    <xf numFmtId="170" fontId="0" fillId="0" borderId="0" xfId="0" applyNumberFormat="1" applyAlignment="1">
      <alignment horizontal="right" wrapText="1"/>
    </xf>
    <xf numFmtId="174" fontId="0" fillId="0" borderId="0" xfId="0" applyNumberFormat="1" applyAlignment="1">
      <alignment horizontal="right" wrapText="1"/>
    </xf>
    <xf numFmtId="174" fontId="17" fillId="0" borderId="0" xfId="1" applyNumberFormat="1" applyFont="1"/>
    <xf numFmtId="0" fontId="0" fillId="0" borderId="0" xfId="0" applyAlignment="1">
      <alignment horizontal="left"/>
    </xf>
    <xf numFmtId="171" fontId="0" fillId="0" borderId="0" xfId="0" applyNumberFormat="1" applyAlignment="1">
      <alignment horizontal="left" wrapText="1"/>
    </xf>
    <xf numFmtId="171" fontId="0" fillId="0" borderId="0" xfId="0" applyNumberFormat="1"/>
    <xf numFmtId="0" fontId="17" fillId="0" borderId="0" xfId="0" applyFont="1"/>
    <xf numFmtId="175" fontId="0" fillId="0" borderId="0" xfId="0" applyNumberFormat="1"/>
    <xf numFmtId="174" fontId="0" fillId="0" borderId="0" xfId="1" applyNumberFormat="1" applyFont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17" fontId="2" fillId="5" borderId="0" xfId="0" applyNumberFormat="1" applyFont="1" applyFill="1"/>
    <xf numFmtId="174" fontId="0" fillId="0" borderId="0" xfId="0" applyNumberFormat="1"/>
    <xf numFmtId="17" fontId="2" fillId="5" borderId="0" xfId="0" applyNumberFormat="1" applyFont="1" applyFill="1" applyAlignment="1">
      <alignment horizontal="right"/>
    </xf>
    <xf numFmtId="17" fontId="2" fillId="5" borderId="0" xfId="0" applyNumberFormat="1" applyFont="1" applyFill="1" applyAlignment="1">
      <alignment horizontal="center"/>
    </xf>
    <xf numFmtId="0" fontId="13" fillId="0" borderId="5" xfId="0" applyFont="1" applyBorder="1"/>
    <xf numFmtId="172" fontId="0" fillId="0" borderId="5" xfId="0" applyNumberFormat="1" applyBorder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 wrapText="1"/>
    </xf>
    <xf numFmtId="10" fontId="3" fillId="0" borderId="11" xfId="1" applyNumberFormat="1" applyFont="1" applyBorder="1"/>
    <xf numFmtId="10" fontId="3" fillId="0" borderId="12" xfId="0" applyNumberFormat="1" applyFont="1" applyBorder="1"/>
    <xf numFmtId="172" fontId="20" fillId="0" borderId="13" xfId="0" applyNumberFormat="1" applyFont="1" applyBorder="1"/>
    <xf numFmtId="10" fontId="3" fillId="7" borderId="11" xfId="1" applyNumberFormat="1" applyFont="1" applyFill="1" applyBorder="1"/>
    <xf numFmtId="10" fontId="3" fillId="7" borderId="12" xfId="0" applyNumberFormat="1" applyFont="1" applyFill="1" applyBorder="1"/>
    <xf numFmtId="172" fontId="0" fillId="8" borderId="0" xfId="0" applyNumberFormat="1" applyFill="1"/>
    <xf numFmtId="10" fontId="0" fillId="9" borderId="0" xfId="0" applyNumberFormat="1" applyFill="1"/>
    <xf numFmtId="172" fontId="0" fillId="9" borderId="0" xfId="0" applyNumberFormat="1" applyFill="1"/>
    <xf numFmtId="10" fontId="3" fillId="0" borderId="11" xfId="1" applyNumberFormat="1" applyFont="1" applyFill="1" applyBorder="1"/>
    <xf numFmtId="10" fontId="3" fillId="6" borderId="11" xfId="1" applyNumberFormat="1" applyFont="1" applyFill="1" applyBorder="1"/>
    <xf numFmtId="174" fontId="1" fillId="0" borderId="0" xfId="1" applyNumberFormat="1" applyFont="1"/>
    <xf numFmtId="1" fontId="0" fillId="0" borderId="0" xfId="0" applyNumberFormat="1" applyAlignment="1">
      <alignment horizontal="right" wrapText="1"/>
    </xf>
    <xf numFmtId="1" fontId="0" fillId="0" borderId="0" xfId="0" applyNumberFormat="1"/>
    <xf numFmtId="174" fontId="17" fillId="0" borderId="0" xfId="0" applyNumberFormat="1" applyFont="1"/>
    <xf numFmtId="0" fontId="16" fillId="5" borderId="0" xfId="0" applyFont="1" applyFill="1" applyAlignment="1">
      <alignment horizontal="center" wrapText="1"/>
    </xf>
    <xf numFmtId="0" fontId="16" fillId="5" borderId="0" xfId="0" applyFont="1" applyFill="1" applyAlignment="1">
      <alignment horizontal="center"/>
    </xf>
    <xf numFmtId="173" fontId="0" fillId="0" borderId="0" xfId="0" applyNumberFormat="1" applyAlignment="1">
      <alignment horizontal="center" wrapText="1"/>
    </xf>
    <xf numFmtId="171" fontId="0" fillId="0" borderId="0" xfId="0" applyNumberFormat="1" applyAlignment="1">
      <alignment horizontal="center" wrapText="1"/>
    </xf>
    <xf numFmtId="172" fontId="0" fillId="0" borderId="0" xfId="0" applyNumberFormat="1" applyAlignment="1">
      <alignment horizontal="right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78" fontId="0" fillId="0" borderId="0" xfId="0" applyNumberFormat="1"/>
    <xf numFmtId="0" fontId="3" fillId="6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9" xfId="0" applyFont="1" applyBorder="1" applyAlignment="1">
      <alignment horizontal="left" vertical="center" wrapText="1" indent="6"/>
    </xf>
    <xf numFmtId="0" fontId="3" fillId="0" borderId="10" xfId="0" applyFont="1" applyBorder="1" applyAlignment="1">
      <alignment horizontal="left" vertical="center" wrapText="1" indent="6"/>
    </xf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D2DD-403D-47F5-8898-AF315540D955}">
  <dimension ref="A1"/>
  <sheetViews>
    <sheetView showGridLines="0" workbookViewId="0">
      <selection activeCell="F24" sqref="F24"/>
    </sheetView>
  </sheetViews>
  <sheetFormatPr defaultRowHeight="14.4" x14ac:dyDescent="0.3"/>
  <cols>
    <col min="1" max="1" width="1.88671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6708-8EF8-4AE1-A1A4-1E3EC02E6EA8}">
  <dimension ref="A1:H29"/>
  <sheetViews>
    <sheetView showGridLines="0" workbookViewId="0">
      <selection activeCell="M15" sqref="M15"/>
    </sheetView>
  </sheetViews>
  <sheetFormatPr defaultRowHeight="14.4" x14ac:dyDescent="0.3"/>
  <cols>
    <col min="1" max="1" width="1.88671875" customWidth="1"/>
    <col min="2" max="2" width="24.44140625" bestFit="1" customWidth="1"/>
  </cols>
  <sheetData>
    <row r="1" spans="1:8" x14ac:dyDescent="0.3">
      <c r="A1" s="34"/>
    </row>
    <row r="3" spans="1:8" x14ac:dyDescent="0.3">
      <c r="C3">
        <v>2026</v>
      </c>
      <c r="D3">
        <f>C3+1</f>
        <v>2027</v>
      </c>
      <c r="E3">
        <f t="shared" ref="E3:G3" si="0">D3+1</f>
        <v>2028</v>
      </c>
      <c r="F3">
        <f t="shared" si="0"/>
        <v>2029</v>
      </c>
      <c r="G3">
        <f t="shared" si="0"/>
        <v>2030</v>
      </c>
    </row>
    <row r="5" spans="1:8" x14ac:dyDescent="0.3">
      <c r="B5" t="s">
        <v>188</v>
      </c>
      <c r="C5" s="59">
        <v>0.25</v>
      </c>
      <c r="D5" s="59">
        <v>0.22</v>
      </c>
      <c r="E5" s="59">
        <v>0.15</v>
      </c>
      <c r="F5" s="59">
        <v>0.18</v>
      </c>
      <c r="G5" s="59">
        <v>0.12</v>
      </c>
    </row>
    <row r="6" spans="1:8" x14ac:dyDescent="0.3">
      <c r="B6" t="s">
        <v>189</v>
      </c>
      <c r="C6" s="59">
        <v>0.95199999999999996</v>
      </c>
      <c r="D6" s="59">
        <v>0.95</v>
      </c>
      <c r="E6" s="59">
        <v>0.94799999999999995</v>
      </c>
      <c r="F6" s="59">
        <v>0.94699999999999995</v>
      </c>
      <c r="G6" s="59">
        <v>0.94499999999999995</v>
      </c>
    </row>
    <row r="7" spans="1:8" x14ac:dyDescent="0.3">
      <c r="C7" s="59"/>
      <c r="D7" s="59"/>
      <c r="E7" s="59"/>
      <c r="F7" s="59"/>
      <c r="G7" s="59"/>
    </row>
    <row r="8" spans="1:8" x14ac:dyDescent="0.3">
      <c r="B8" t="s">
        <v>135</v>
      </c>
      <c r="C8" s="59">
        <v>4.4999999999999998E-2</v>
      </c>
      <c r="D8" s="59">
        <v>0.05</v>
      </c>
      <c r="E8" s="59">
        <v>5.8999999999999997E-2</v>
      </c>
      <c r="F8" s="59">
        <v>6.8000000000000005E-2</v>
      </c>
      <c r="G8" s="59">
        <v>7.4999999999999997E-2</v>
      </c>
    </row>
    <row r="9" spans="1:8" x14ac:dyDescent="0.3">
      <c r="C9" s="59"/>
      <c r="D9" s="59"/>
      <c r="E9" s="59"/>
      <c r="F9" s="59"/>
      <c r="G9" s="59"/>
    </row>
    <row r="10" spans="1:8" x14ac:dyDescent="0.3">
      <c r="B10" t="s">
        <v>185</v>
      </c>
      <c r="C10" s="59">
        <v>0.25</v>
      </c>
      <c r="D10" s="59">
        <v>0.25</v>
      </c>
      <c r="E10" s="59">
        <v>0.25</v>
      </c>
      <c r="F10" s="59">
        <v>0.25</v>
      </c>
      <c r="G10" s="59">
        <v>0.25</v>
      </c>
      <c r="H10" s="59"/>
    </row>
    <row r="11" spans="1:8" x14ac:dyDescent="0.3">
      <c r="C11" s="59"/>
      <c r="D11" s="59"/>
      <c r="E11" s="59"/>
      <c r="F11" s="59"/>
      <c r="G11" s="59"/>
    </row>
    <row r="12" spans="1:8" x14ac:dyDescent="0.3">
      <c r="B12" t="s">
        <v>186</v>
      </c>
      <c r="C12" s="59">
        <v>8.0000000000000002E-3</v>
      </c>
      <c r="D12" s="59">
        <v>8.0000000000000002E-3</v>
      </c>
      <c r="E12" s="59">
        <v>8.0000000000000002E-3</v>
      </c>
      <c r="F12" s="59">
        <v>8.0000000000000002E-3</v>
      </c>
      <c r="G12" s="59">
        <v>8.0000000000000002E-3</v>
      </c>
    </row>
    <row r="13" spans="1:8" x14ac:dyDescent="0.3">
      <c r="B13" t="s">
        <v>187</v>
      </c>
      <c r="C13" s="59">
        <v>0.02</v>
      </c>
      <c r="D13" s="59">
        <v>1.7999999999999999E-2</v>
      </c>
      <c r="E13" s="59">
        <v>1.4999999999999999E-2</v>
      </c>
      <c r="F13" s="59">
        <v>1.2999999999999999E-2</v>
      </c>
      <c r="G13" s="59">
        <v>1.2E-2</v>
      </c>
    </row>
    <row r="14" spans="1:8" x14ac:dyDescent="0.3">
      <c r="C14" s="59"/>
      <c r="D14" s="59"/>
      <c r="E14" s="59"/>
      <c r="F14" s="59"/>
      <c r="G14" s="59"/>
    </row>
    <row r="15" spans="1:8" x14ac:dyDescent="0.3">
      <c r="B15" t="s">
        <v>138</v>
      </c>
      <c r="C15" s="63">
        <v>57</v>
      </c>
      <c r="D15" s="63">
        <v>54</v>
      </c>
      <c r="E15" s="63">
        <v>50</v>
      </c>
      <c r="F15" s="63">
        <v>47</v>
      </c>
      <c r="G15" s="63">
        <v>44</v>
      </c>
    </row>
    <row r="16" spans="1:8" x14ac:dyDescent="0.3">
      <c r="B16" t="s">
        <v>112</v>
      </c>
      <c r="C16" s="63">
        <v>39</v>
      </c>
      <c r="D16" s="63">
        <v>39</v>
      </c>
      <c r="E16" s="63">
        <v>38</v>
      </c>
      <c r="F16" s="63">
        <v>38</v>
      </c>
      <c r="G16" s="63">
        <v>38</v>
      </c>
    </row>
    <row r="20" spans="2:4" x14ac:dyDescent="0.3">
      <c r="C20" s="63"/>
      <c r="D20" s="63"/>
    </row>
    <row r="21" spans="2:4" x14ac:dyDescent="0.3">
      <c r="B21" t="s">
        <v>190</v>
      </c>
      <c r="C21" s="59">
        <v>7.0000000000000007E-2</v>
      </c>
      <c r="D21" s="63"/>
    </row>
    <row r="22" spans="2:4" x14ac:dyDescent="0.3">
      <c r="B22" t="s">
        <v>191</v>
      </c>
      <c r="C22" s="59">
        <v>0.13</v>
      </c>
      <c r="D22" s="63"/>
    </row>
    <row r="23" spans="2:4" x14ac:dyDescent="0.3">
      <c r="B23" t="s">
        <v>192</v>
      </c>
      <c r="C23" s="63">
        <v>1.1499999999999999</v>
      </c>
      <c r="D23" s="63"/>
    </row>
    <row r="24" spans="2:4" x14ac:dyDescent="0.3">
      <c r="B24" t="s">
        <v>193</v>
      </c>
      <c r="C24" s="91">
        <v>0.09</v>
      </c>
      <c r="D24" s="63"/>
    </row>
    <row r="25" spans="2:4" x14ac:dyDescent="0.3">
      <c r="B25" t="s">
        <v>194</v>
      </c>
      <c r="C25" s="91">
        <v>0.2</v>
      </c>
    </row>
    <row r="26" spans="2:4" x14ac:dyDescent="0.3">
      <c r="B26" t="s">
        <v>195</v>
      </c>
      <c r="C26" s="70">
        <f>1-C25</f>
        <v>0.8</v>
      </c>
    </row>
    <row r="27" spans="2:4" x14ac:dyDescent="0.3">
      <c r="B27" t="s">
        <v>160</v>
      </c>
      <c r="C27" s="70">
        <f>(C21+(C22-C21)*C23)*C26+(C24*C25*(1-C10))</f>
        <v>0.12470000000000002</v>
      </c>
    </row>
    <row r="29" spans="2:4" x14ac:dyDescent="0.3">
      <c r="B29" t="s">
        <v>196</v>
      </c>
      <c r="C29" s="59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L89"/>
  <sheetViews>
    <sheetView showGridLines="0" zoomScaleNormal="100" workbookViewId="0">
      <pane ySplit="3" topLeftCell="A72" activePane="bottomLeft" state="frozen"/>
      <selection pane="bottomLeft" activeCell="H87" sqref="H87"/>
    </sheetView>
  </sheetViews>
  <sheetFormatPr defaultRowHeight="14.4" x14ac:dyDescent="0.3"/>
  <cols>
    <col min="1" max="1" width="1.88671875" customWidth="1"/>
    <col min="2" max="2" width="28.44140625" bestFit="1" customWidth="1"/>
    <col min="3" max="8" width="13" customWidth="1"/>
  </cols>
  <sheetData>
    <row r="2" spans="1:8" x14ac:dyDescent="0.3">
      <c r="B2" s="101" t="str">
        <f>"Historical Financial Statement - "&amp;'Data Sheet'!B1</f>
        <v>Historical Financial Statement - DIXON TECHNOLOGIES (INDIA) LTD</v>
      </c>
      <c r="C2" s="101"/>
      <c r="D2" s="101"/>
      <c r="E2" s="101"/>
      <c r="F2" s="101"/>
      <c r="G2" s="101"/>
      <c r="H2" s="101"/>
    </row>
    <row r="3" spans="1:8" x14ac:dyDescent="0.3">
      <c r="B3" s="67" t="s">
        <v>56</v>
      </c>
      <c r="C3" s="69">
        <f>'Data Sheet'!F16</f>
        <v>43921</v>
      </c>
      <c r="D3" s="69">
        <f>'Data Sheet'!G16</f>
        <v>44286</v>
      </c>
      <c r="E3" s="69">
        <f>'Data Sheet'!H16</f>
        <v>44651</v>
      </c>
      <c r="F3" s="69">
        <f>'Data Sheet'!I16</f>
        <v>45016</v>
      </c>
      <c r="G3" s="69">
        <f>'Data Sheet'!J16</f>
        <v>45382</v>
      </c>
      <c r="H3" s="69">
        <f>'Data Sheet'!K16</f>
        <v>45747</v>
      </c>
    </row>
    <row r="4" spans="1:8" x14ac:dyDescent="0.3">
      <c r="B4" s="18"/>
      <c r="C4" s="19"/>
      <c r="D4" s="19"/>
      <c r="E4" s="19"/>
      <c r="F4" s="19"/>
      <c r="G4" s="19"/>
      <c r="H4" s="19"/>
    </row>
    <row r="5" spans="1:8" x14ac:dyDescent="0.3">
      <c r="A5" t="s">
        <v>58</v>
      </c>
      <c r="B5" s="20" t="s">
        <v>57</v>
      </c>
      <c r="C5" s="21"/>
      <c r="D5" s="21"/>
      <c r="E5" s="21"/>
      <c r="F5" s="21"/>
      <c r="G5" s="21"/>
      <c r="H5" s="21"/>
    </row>
    <row r="6" spans="1:8" x14ac:dyDescent="0.3">
      <c r="B6" t="s">
        <v>12</v>
      </c>
      <c r="C6" s="12">
        <f>IFERROR('Data Sheet'!F17,0)</f>
        <v>4400.12</v>
      </c>
      <c r="D6" s="12">
        <f>IFERROR('Data Sheet'!G17,0)</f>
        <v>6448.17</v>
      </c>
      <c r="E6" s="12">
        <f>IFERROR('Data Sheet'!H17,0)</f>
        <v>10697.08</v>
      </c>
      <c r="F6" s="12">
        <f>IFERROR('Data Sheet'!I17,0)</f>
        <v>12192.01</v>
      </c>
      <c r="G6" s="12">
        <f>IFERROR('Data Sheet'!J17,0)</f>
        <v>17690.900000000001</v>
      </c>
      <c r="H6" s="12">
        <f>IFERROR('Data Sheet'!K17,0)</f>
        <v>38860.1</v>
      </c>
    </row>
    <row r="7" spans="1:8" x14ac:dyDescent="0.3">
      <c r="B7" s="15" t="s">
        <v>59</v>
      </c>
      <c r="C7" s="16">
        <f>IFERROR(C6/#REF!-1, 0)</f>
        <v>0</v>
      </c>
      <c r="D7" s="16">
        <f t="shared" ref="D7:H7" si="0">IFERROR(D6/C6-1, 0)</f>
        <v>0.46545321491232072</v>
      </c>
      <c r="E7" s="16">
        <f t="shared" si="0"/>
        <v>0.65893268942971406</v>
      </c>
      <c r="F7" s="16">
        <f t="shared" si="0"/>
        <v>0.13975122182876087</v>
      </c>
      <c r="G7" s="16">
        <f t="shared" si="0"/>
        <v>0.45102407232277542</v>
      </c>
      <c r="H7" s="16">
        <f t="shared" si="0"/>
        <v>1.1966152089492335</v>
      </c>
    </row>
    <row r="9" spans="1:8" x14ac:dyDescent="0.3">
      <c r="B9" t="s">
        <v>60</v>
      </c>
      <c r="C9" s="12">
        <f>IFERROR(SUM('Data Sheet'!F18,'Data Sheet'!F20:F22)-1*'Data Sheet'!F19,0)</f>
        <v>4119.7099999999991</v>
      </c>
      <c r="D9" s="12">
        <f>IFERROR(SUM('Data Sheet'!G18,'Data Sheet'!G20:G22)-1*'Data Sheet'!G19,0)</f>
        <v>6082.9500000000007</v>
      </c>
      <c r="E9" s="12">
        <f>IFERROR(SUM('Data Sheet'!H18,'Data Sheet'!H20:H22)-1*'Data Sheet'!H19,0)</f>
        <v>10225.369999999999</v>
      </c>
      <c r="F9" s="12">
        <f>IFERROR(SUM('Data Sheet'!I18,'Data Sheet'!I20:I22)-1*'Data Sheet'!I19,0)</f>
        <v>11566.32</v>
      </c>
      <c r="G9" s="12">
        <f>IFERROR(SUM('Data Sheet'!J18,'Data Sheet'!J20:J22)-1*'Data Sheet'!J19,0)</f>
        <v>16854.72</v>
      </c>
      <c r="H9" s="12">
        <f>IFERROR(SUM('Data Sheet'!K18,'Data Sheet'!K20:K22)-1*'Data Sheet'!K19,0)</f>
        <v>37116.31</v>
      </c>
    </row>
    <row r="10" spans="1:8" x14ac:dyDescent="0.3">
      <c r="B10" s="15" t="s">
        <v>61</v>
      </c>
      <c r="C10" s="16">
        <f t="shared" ref="C10:H10" si="1">IFERROR(C9/C6, 0)</f>
        <v>0.93627219257656591</v>
      </c>
      <c r="D10" s="16">
        <f t="shared" si="1"/>
        <v>0.94336067442390636</v>
      </c>
      <c r="E10" s="16">
        <f t="shared" si="1"/>
        <v>0.95590291930134197</v>
      </c>
      <c r="F10" s="16">
        <f t="shared" si="1"/>
        <v>0.94868032424514082</v>
      </c>
      <c r="G10" s="16">
        <f t="shared" si="1"/>
        <v>0.95273389143570986</v>
      </c>
      <c r="H10" s="16">
        <f t="shared" si="1"/>
        <v>0.95512646647847022</v>
      </c>
    </row>
    <row r="12" spans="1:8" x14ac:dyDescent="0.3">
      <c r="B12" s="22" t="s">
        <v>62</v>
      </c>
      <c r="C12" s="23">
        <f t="shared" ref="C12:H12" si="2">C6-C9</f>
        <v>280.41000000000076</v>
      </c>
      <c r="D12" s="23">
        <f t="shared" si="2"/>
        <v>365.21999999999935</v>
      </c>
      <c r="E12" s="23">
        <f t="shared" si="2"/>
        <v>471.71000000000095</v>
      </c>
      <c r="F12" s="23">
        <f t="shared" si="2"/>
        <v>625.69000000000051</v>
      </c>
      <c r="G12" s="23">
        <f t="shared" si="2"/>
        <v>836.18000000000029</v>
      </c>
      <c r="H12" s="23">
        <f t="shared" si="2"/>
        <v>1743.7900000000009</v>
      </c>
    </row>
    <row r="13" spans="1:8" x14ac:dyDescent="0.3">
      <c r="B13" s="15" t="s">
        <v>68</v>
      </c>
      <c r="C13" s="16">
        <f t="shared" ref="C13:H13" si="3">IFERROR(C12/C6,0)</f>
        <v>6.3727807423434077E-2</v>
      </c>
      <c r="D13" s="16">
        <f t="shared" si="3"/>
        <v>5.663932557609358E-2</v>
      </c>
      <c r="E13" s="16">
        <f t="shared" si="3"/>
        <v>4.4097080698658038E-2</v>
      </c>
      <c r="F13" s="16">
        <f t="shared" si="3"/>
        <v>5.1319675754859163E-2</v>
      </c>
      <c r="G13" s="16">
        <f t="shared" si="3"/>
        <v>4.726610856429013E-2</v>
      </c>
      <c r="H13" s="16">
        <f t="shared" si="3"/>
        <v>4.487353352152982E-2</v>
      </c>
    </row>
    <row r="15" spans="1:8" x14ac:dyDescent="0.3">
      <c r="B15" t="s">
        <v>63</v>
      </c>
      <c r="C15" s="17">
        <f>IFERROR(SUM('Data Sheet'!F23:F24),0)</f>
        <v>52.58</v>
      </c>
      <c r="D15" s="17">
        <f>IFERROR(SUM('Data Sheet'!G23:G24),0)</f>
        <v>73.02000000000001</v>
      </c>
      <c r="E15" s="17">
        <f>IFERROR(SUM('Data Sheet'!H23:H24),0)</f>
        <v>87.41</v>
      </c>
      <c r="F15" s="17">
        <f>IFERROR(SUM('Data Sheet'!I23:I24),0)</f>
        <v>106.24000000000001</v>
      </c>
      <c r="G15" s="17">
        <f>IFERROR(SUM('Data Sheet'!J23:J24),0)</f>
        <v>131.13</v>
      </c>
      <c r="H15" s="17">
        <f>IFERROR(SUM('Data Sheet'!K23:K24),0)</f>
        <v>228.94</v>
      </c>
    </row>
    <row r="16" spans="1:8" x14ac:dyDescent="0.3">
      <c r="B16" s="15" t="s">
        <v>64</v>
      </c>
      <c r="C16" s="16">
        <f t="shared" ref="C16:H16" si="4">IFERROR(C15/C6,0)</f>
        <v>1.1949674099797278E-2</v>
      </c>
      <c r="D16" s="16">
        <f t="shared" si="4"/>
        <v>1.1324143128980783E-2</v>
      </c>
      <c r="E16" s="16">
        <f t="shared" si="4"/>
        <v>8.1713888276052898E-3</v>
      </c>
      <c r="F16" s="16">
        <f t="shared" si="4"/>
        <v>8.7139036139242017E-3</v>
      </c>
      <c r="G16" s="16">
        <f t="shared" si="4"/>
        <v>7.4122854122741066E-3</v>
      </c>
      <c r="H16" s="16">
        <f t="shared" si="4"/>
        <v>5.8913898831963896E-3</v>
      </c>
    </row>
    <row r="18" spans="2:8" s="11" customFormat="1" x14ac:dyDescent="0.3">
      <c r="B18" s="22" t="s">
        <v>125</v>
      </c>
      <c r="C18" s="23">
        <f>IFERROR(C12-C15,0)</f>
        <v>227.83000000000078</v>
      </c>
      <c r="D18" s="23">
        <f t="shared" ref="D18:H18" si="5">IFERROR(D12-D15,0)</f>
        <v>292.19999999999936</v>
      </c>
      <c r="E18" s="23">
        <f t="shared" si="5"/>
        <v>384.30000000000098</v>
      </c>
      <c r="F18" s="23">
        <f t="shared" si="5"/>
        <v>519.4500000000005</v>
      </c>
      <c r="G18" s="23">
        <f t="shared" si="5"/>
        <v>705.0500000000003</v>
      </c>
      <c r="H18" s="23">
        <f t="shared" si="5"/>
        <v>1514.8500000000008</v>
      </c>
    </row>
    <row r="19" spans="2:8" x14ac:dyDescent="0.3">
      <c r="B19" s="15" t="s">
        <v>65</v>
      </c>
      <c r="C19" s="16">
        <f t="shared" ref="C19:H19" si="6">IFERROR(C18/C6,0)</f>
        <v>5.1778133323636809E-2</v>
      </c>
      <c r="D19" s="16">
        <f t="shared" si="6"/>
        <v>4.5315182447112801E-2</v>
      </c>
      <c r="E19" s="16">
        <f t="shared" si="6"/>
        <v>3.5925691871052753E-2</v>
      </c>
      <c r="F19" s="16">
        <f t="shared" si="6"/>
        <v>4.2605772140934965E-2</v>
      </c>
      <c r="G19" s="16">
        <f t="shared" si="6"/>
        <v>3.9853823152016021E-2</v>
      </c>
      <c r="H19" s="16">
        <f t="shared" si="6"/>
        <v>3.8982143638333432E-2</v>
      </c>
    </row>
    <row r="20" spans="2:8" x14ac:dyDescent="0.3">
      <c r="B20" s="15" t="s">
        <v>126</v>
      </c>
      <c r="C20" s="47">
        <f>IFERROR('Data Sheet'!F34,0)</f>
        <v>232.74</v>
      </c>
      <c r="D20" s="47">
        <f>IFERROR('Data Sheet'!G34,0)</f>
        <v>293.45000000000005</v>
      </c>
      <c r="E20" s="47">
        <f>IFERROR('Data Sheet'!H34,0)</f>
        <v>387.9</v>
      </c>
      <c r="F20" s="47">
        <f>IFERROR('Data Sheet'!I34,0)</f>
        <v>523.92000000000007</v>
      </c>
      <c r="G20" s="47">
        <f>IFERROR('Data Sheet'!J34,0)</f>
        <v>729.5</v>
      </c>
      <c r="H20" s="47">
        <f>IFERROR('Data Sheet'!K34,0)</f>
        <v>1875.3</v>
      </c>
    </row>
    <row r="22" spans="2:8" x14ac:dyDescent="0.3">
      <c r="B22" t="s">
        <v>22</v>
      </c>
      <c r="C22" s="17">
        <f>IFERROR('Data Sheet'!F27,0)</f>
        <v>39.44</v>
      </c>
      <c r="D22" s="17">
        <f>IFERROR('Data Sheet'!G27,0)</f>
        <v>32.72</v>
      </c>
      <c r="E22" s="17">
        <f>IFERROR('Data Sheet'!H27,0)</f>
        <v>49.4</v>
      </c>
      <c r="F22" s="17">
        <f>IFERROR('Data Sheet'!I27,0)</f>
        <v>64.069999999999993</v>
      </c>
      <c r="G22" s="17">
        <f>IFERROR('Data Sheet'!J27,0)</f>
        <v>80.959999999999994</v>
      </c>
      <c r="H22" s="17">
        <f>IFERROR('Data Sheet'!K27,0)</f>
        <v>161.52000000000001</v>
      </c>
    </row>
    <row r="23" spans="2:8" x14ac:dyDescent="0.3">
      <c r="B23" s="15" t="s">
        <v>66</v>
      </c>
      <c r="C23" s="16">
        <f t="shared" ref="C23:H23" si="7">IFERROR(C22/C6,0)</f>
        <v>8.9633919074934322E-3</v>
      </c>
      <c r="D23" s="16">
        <f t="shared" si="7"/>
        <v>5.0743079044131903E-3</v>
      </c>
      <c r="E23" s="16">
        <f t="shared" si="7"/>
        <v>4.6180826917252187E-3</v>
      </c>
      <c r="F23" s="16">
        <f t="shared" si="7"/>
        <v>5.2550809915674276E-3</v>
      </c>
      <c r="G23" s="16">
        <f t="shared" si="7"/>
        <v>4.5763641194060218E-3</v>
      </c>
      <c r="H23" s="16">
        <f t="shared" si="7"/>
        <v>4.1564483879351832E-3</v>
      </c>
    </row>
    <row r="25" spans="2:8" x14ac:dyDescent="0.3">
      <c r="B25" t="s">
        <v>21</v>
      </c>
      <c r="C25" s="17">
        <f>IFERROR('Data Sheet'!F26,0)</f>
        <v>36.53</v>
      </c>
      <c r="D25" s="17">
        <f>IFERROR('Data Sheet'!G26,0)</f>
        <v>43.72</v>
      </c>
      <c r="E25" s="17">
        <f>IFERROR('Data Sheet'!H26,0)</f>
        <v>83.95</v>
      </c>
      <c r="F25" s="17">
        <f>IFERROR('Data Sheet'!I26,0)</f>
        <v>114.63</v>
      </c>
      <c r="G25" s="17">
        <f>IFERROR('Data Sheet'!J26,0)</f>
        <v>161.88</v>
      </c>
      <c r="H25" s="17">
        <f>IFERROR('Data Sheet'!K26,0)</f>
        <v>281.02</v>
      </c>
    </row>
    <row r="26" spans="2:8" x14ac:dyDescent="0.3">
      <c r="B26" s="15" t="s">
        <v>67</v>
      </c>
      <c r="C26" s="16">
        <f t="shared" ref="C26:H26" si="8">IFERROR(C25/C6,0)</f>
        <v>8.3020463078279684E-3</v>
      </c>
      <c r="D26" s="16">
        <f t="shared" si="8"/>
        <v>6.7802182634763035E-3</v>
      </c>
      <c r="E26" s="16">
        <f t="shared" si="8"/>
        <v>7.8479360722739297E-3</v>
      </c>
      <c r="F26" s="16">
        <f t="shared" si="8"/>
        <v>9.4020592174711131E-3</v>
      </c>
      <c r="G26" s="16">
        <f t="shared" si="8"/>
        <v>9.1504671893459337E-3</v>
      </c>
      <c r="H26" s="16">
        <f t="shared" si="8"/>
        <v>7.2315820082809873E-3</v>
      </c>
    </row>
    <row r="28" spans="2:8" s="11" customFormat="1" x14ac:dyDescent="0.3">
      <c r="B28" s="22" t="s">
        <v>69</v>
      </c>
      <c r="C28" s="23">
        <f t="shared" ref="C28:H28" si="9">IFERROR(C18-SUM(C25,C22),0)</f>
        <v>151.86000000000078</v>
      </c>
      <c r="D28" s="23">
        <f t="shared" si="9"/>
        <v>215.75999999999937</v>
      </c>
      <c r="E28" s="24">
        <f t="shared" si="9"/>
        <v>250.95000000000098</v>
      </c>
      <c r="F28" s="24">
        <f t="shared" si="9"/>
        <v>340.75000000000051</v>
      </c>
      <c r="G28" s="24">
        <f t="shared" si="9"/>
        <v>462.21000000000032</v>
      </c>
      <c r="H28" s="24">
        <f t="shared" si="9"/>
        <v>1072.3100000000009</v>
      </c>
    </row>
    <row r="29" spans="2:8" x14ac:dyDescent="0.3">
      <c r="B29" s="15" t="s">
        <v>70</v>
      </c>
      <c r="C29" s="16">
        <f t="shared" ref="C29:H29" si="10">IFERROR(C28/C6,0)</f>
        <v>3.4512695108315408E-2</v>
      </c>
      <c r="D29" s="16">
        <f t="shared" si="10"/>
        <v>3.3460656279223309E-2</v>
      </c>
      <c r="E29" s="16">
        <f t="shared" si="10"/>
        <v>2.3459673107053606E-2</v>
      </c>
      <c r="F29" s="16">
        <f t="shared" si="10"/>
        <v>2.7948631931896423E-2</v>
      </c>
      <c r="G29" s="16">
        <f t="shared" si="10"/>
        <v>2.6126991843264068E-2</v>
      </c>
      <c r="H29" s="16">
        <f t="shared" si="10"/>
        <v>2.759411324211726E-2</v>
      </c>
    </row>
    <row r="31" spans="2:8" x14ac:dyDescent="0.3">
      <c r="B31" t="s">
        <v>24</v>
      </c>
      <c r="C31" s="12">
        <f>IFERROR('Data Sheet'!F29,0)</f>
        <v>36.270000000000003</v>
      </c>
      <c r="D31" s="12">
        <f>IFERROR('Data Sheet'!G29,0)</f>
        <v>57.21</v>
      </c>
      <c r="E31" s="12">
        <f>IFERROR('Data Sheet'!H29,0)</f>
        <v>64.38</v>
      </c>
      <c r="F31" s="12">
        <f>IFERROR('Data Sheet'!I29,0)</f>
        <v>89.7</v>
      </c>
      <c r="G31" s="12">
        <f>IFERROR('Data Sheet'!J29,0)</f>
        <v>118.91</v>
      </c>
      <c r="H31" s="12">
        <f>IFERROR('Data Sheet'!K29,0)</f>
        <v>337.22</v>
      </c>
    </row>
    <row r="32" spans="2:8" x14ac:dyDescent="0.3">
      <c r="B32" s="15" t="s">
        <v>27</v>
      </c>
      <c r="C32" s="16">
        <f t="shared" ref="C32:H32" si="11">IFERROR(C31/C28,0)</f>
        <v>0.238838403792966</v>
      </c>
      <c r="D32" s="16">
        <f t="shared" si="11"/>
        <v>0.26515572858732001</v>
      </c>
      <c r="E32" s="16">
        <f t="shared" si="11"/>
        <v>0.25654512851165467</v>
      </c>
      <c r="F32" s="16">
        <f t="shared" si="11"/>
        <v>0.26324284666177511</v>
      </c>
      <c r="G32" s="16">
        <f t="shared" si="11"/>
        <v>0.2572640141926828</v>
      </c>
      <c r="H32" s="16">
        <f t="shared" si="11"/>
        <v>0.31447995449077204</v>
      </c>
    </row>
    <row r="34" spans="2:12" s="11" customFormat="1" x14ac:dyDescent="0.3">
      <c r="B34" s="22" t="s">
        <v>71</v>
      </c>
      <c r="C34" s="24">
        <f t="shared" ref="C34:H34" si="12">IFERROR(C28-C31,0)</f>
        <v>115.59000000000077</v>
      </c>
      <c r="D34" s="24">
        <f t="shared" si="12"/>
        <v>158.54999999999936</v>
      </c>
      <c r="E34" s="24">
        <f t="shared" si="12"/>
        <v>186.57000000000099</v>
      </c>
      <c r="F34" s="24">
        <f t="shared" si="12"/>
        <v>251.05000000000052</v>
      </c>
      <c r="G34" s="24">
        <f t="shared" si="12"/>
        <v>343.3000000000003</v>
      </c>
      <c r="H34" s="24">
        <f t="shared" si="12"/>
        <v>735.09000000000083</v>
      </c>
    </row>
    <row r="35" spans="2:12" x14ac:dyDescent="0.3">
      <c r="B35" s="15" t="s">
        <v>72</v>
      </c>
      <c r="C35" s="16">
        <f t="shared" ref="C35:H35" si="13" xml:space="preserve"> IFERROR(C34/C6,0)</f>
        <v>2.6269738098052046E-2</v>
      </c>
      <c r="D35" s="16">
        <f t="shared" si="13"/>
        <v>2.4588371584495967E-2</v>
      </c>
      <c r="E35" s="16">
        <f t="shared" si="13"/>
        <v>1.744120825496313E-2</v>
      </c>
      <c r="F35" s="16">
        <f t="shared" si="13"/>
        <v>2.0591354501841821E-2</v>
      </c>
      <c r="G35" s="16">
        <f t="shared" si="13"/>
        <v>1.940545704288647E-2</v>
      </c>
      <c r="H35" s="16">
        <f t="shared" si="13"/>
        <v>1.8916317765523015E-2</v>
      </c>
    </row>
    <row r="37" spans="2:12" x14ac:dyDescent="0.3">
      <c r="B37" t="s">
        <v>73</v>
      </c>
      <c r="C37">
        <f>IFERROR('Data Sheet'!F93,0)</f>
        <v>5.79</v>
      </c>
      <c r="D37">
        <f>IFERROR('Data Sheet'!G93,0)</f>
        <v>5.86</v>
      </c>
      <c r="E37">
        <f>IFERROR('Data Sheet'!H93,0)</f>
        <v>5.93</v>
      </c>
      <c r="F37">
        <f>IFERROR('Data Sheet'!I93,0)</f>
        <v>5.96</v>
      </c>
      <c r="G37">
        <f>IFERROR('Data Sheet'!J93,0)</f>
        <v>5.98</v>
      </c>
      <c r="H37">
        <f>IFERROR('Data Sheet'!K93,0)</f>
        <v>6.02</v>
      </c>
    </row>
    <row r="38" spans="2:12" x14ac:dyDescent="0.3">
      <c r="C38" s="17"/>
      <c r="D38" s="17"/>
      <c r="E38" s="17"/>
      <c r="F38" s="17"/>
      <c r="G38" s="17"/>
      <c r="H38" s="17"/>
    </row>
    <row r="39" spans="2:12" x14ac:dyDescent="0.3">
      <c r="B39" t="s">
        <v>75</v>
      </c>
      <c r="C39" s="17">
        <f t="shared" ref="C39:H39" si="14">IFERROR(C34/C37,0)</f>
        <v>19.963730569948318</v>
      </c>
      <c r="D39" s="17">
        <f t="shared" si="14"/>
        <v>27.056313993173951</v>
      </c>
      <c r="E39" s="17">
        <f t="shared" si="14"/>
        <v>31.462057335581957</v>
      </c>
      <c r="F39" s="17">
        <f t="shared" si="14"/>
        <v>42.1224832214766</v>
      </c>
      <c r="G39" s="17">
        <f t="shared" si="14"/>
        <v>57.408026755852887</v>
      </c>
      <c r="H39" s="17">
        <f t="shared" si="14"/>
        <v>122.10797342192706</v>
      </c>
    </row>
    <row r="40" spans="2:12" x14ac:dyDescent="0.3">
      <c r="B40" s="15" t="s">
        <v>76</v>
      </c>
      <c r="C40" s="16">
        <f>IFERROR(C39/#REF!-1,0)</f>
        <v>0</v>
      </c>
      <c r="D40" s="16">
        <f t="shared" ref="D40:H40" si="15">IFERROR(D39/C39-1,0)</f>
        <v>0.3552734494374612</v>
      </c>
      <c r="E40" s="16">
        <f t="shared" si="15"/>
        <v>0.16283605163362358</v>
      </c>
      <c r="F40" s="16">
        <f t="shared" si="15"/>
        <v>0.33883435441579501</v>
      </c>
      <c r="G40" s="16">
        <f t="shared" si="15"/>
        <v>0.36288324821701834</v>
      </c>
      <c r="H40" s="16">
        <f t="shared" si="15"/>
        <v>1.1270191700061849</v>
      </c>
    </row>
    <row r="42" spans="2:12" x14ac:dyDescent="0.3">
      <c r="B42" t="s">
        <v>74</v>
      </c>
      <c r="C42" s="12">
        <f>IFERROR('Data Sheet'!F31/HistoricalFS!C37,0)</f>
        <v>0.79965457685664942</v>
      </c>
      <c r="D42" s="12">
        <f>IFERROR('Data Sheet'!G31/HistoricalFS!D37,0)</f>
        <v>1</v>
      </c>
      <c r="E42" s="12">
        <f>IFERROR('Data Sheet'!H31/HistoricalFS!E37,0)</f>
        <v>2.0016863406408092</v>
      </c>
      <c r="F42" s="12">
        <f>IFERROR('Data Sheet'!I31/HistoricalFS!F37,0)</f>
        <v>2.9966442953020134</v>
      </c>
      <c r="G42" s="12">
        <f>IFERROR('Data Sheet'!J31/HistoricalFS!G37,0)</f>
        <v>4.9999999999999991</v>
      </c>
      <c r="H42" s="12">
        <f>IFERROR('Data Sheet'!K31/HistoricalFS!H37,0)</f>
        <v>8.0066445182724255</v>
      </c>
    </row>
    <row r="43" spans="2:12" x14ac:dyDescent="0.3">
      <c r="B43" s="15" t="s">
        <v>77</v>
      </c>
      <c r="C43" s="16">
        <f t="shared" ref="C43:H43" si="16">IFERROR(C42/C39,0)</f>
        <v>4.0055368111428062E-2</v>
      </c>
      <c r="D43" s="16">
        <f t="shared" si="16"/>
        <v>3.6959949542731151E-2</v>
      </c>
      <c r="E43" s="16">
        <f t="shared" si="16"/>
        <v>6.3622232942058932E-2</v>
      </c>
      <c r="F43" s="16">
        <f t="shared" si="16"/>
        <v>7.1141206930890113E-2</v>
      </c>
      <c r="G43" s="16">
        <f t="shared" si="16"/>
        <v>8.7095834547043324E-2</v>
      </c>
      <c r="H43" s="16">
        <f t="shared" si="16"/>
        <v>6.5570202288155119E-2</v>
      </c>
    </row>
    <row r="45" spans="2:12" x14ac:dyDescent="0.3">
      <c r="B45" s="49" t="s">
        <v>78</v>
      </c>
      <c r="C45" s="50">
        <f t="shared" ref="C45:H45" si="17">IFERROR(IF(C39&gt;C42,1-C43,0),0)</f>
        <v>0.95994463188857193</v>
      </c>
      <c r="D45" s="50">
        <f t="shared" si="17"/>
        <v>0.96304005045726881</v>
      </c>
      <c r="E45" s="50">
        <f t="shared" si="17"/>
        <v>0.93637776705794107</v>
      </c>
      <c r="F45" s="50">
        <f t="shared" si="17"/>
        <v>0.9288587930691099</v>
      </c>
      <c r="G45" s="50">
        <f t="shared" si="17"/>
        <v>0.91290416545295672</v>
      </c>
      <c r="H45" s="50">
        <f t="shared" si="17"/>
        <v>0.93442979771184487</v>
      </c>
    </row>
    <row r="46" spans="2:12" x14ac:dyDescent="0.3">
      <c r="C46" s="13"/>
      <c r="D46" s="13"/>
      <c r="E46" s="13"/>
      <c r="F46" s="13"/>
      <c r="G46" s="13"/>
      <c r="H46" s="13"/>
    </row>
    <row r="47" spans="2:12" x14ac:dyDescent="0.3">
      <c r="B47" s="106" t="s">
        <v>127</v>
      </c>
      <c r="C47" s="107"/>
      <c r="D47" s="107"/>
      <c r="E47" s="107"/>
      <c r="F47" s="107"/>
      <c r="G47" s="107"/>
      <c r="H47" s="107"/>
      <c r="I47" s="107"/>
      <c r="J47" s="108"/>
      <c r="K47" s="54"/>
      <c r="L47" s="51"/>
    </row>
    <row r="48" spans="2:12" x14ac:dyDescent="0.3">
      <c r="B48" s="48"/>
      <c r="C48" s="48"/>
      <c r="D48" s="48"/>
      <c r="E48" s="48"/>
      <c r="F48" s="48"/>
      <c r="G48" s="48"/>
      <c r="H48" s="48"/>
    </row>
    <row r="50" spans="1:8" x14ac:dyDescent="0.3">
      <c r="A50" t="s">
        <v>58</v>
      </c>
      <c r="B50" s="20" t="s">
        <v>79</v>
      </c>
      <c r="C50" s="21"/>
      <c r="D50" s="21"/>
      <c r="E50" s="21"/>
      <c r="F50" s="21"/>
      <c r="G50" s="21"/>
      <c r="H50" s="21"/>
    </row>
    <row r="51" spans="1:8" x14ac:dyDescent="0.3">
      <c r="B51" t="s">
        <v>33</v>
      </c>
      <c r="C51" s="12">
        <f>IFERROR('Data Sheet'!F57,0)</f>
        <v>11.57</v>
      </c>
      <c r="D51" s="12">
        <f>IFERROR('Data Sheet'!G57,0)</f>
        <v>11.71</v>
      </c>
      <c r="E51" s="12">
        <f>IFERROR('Data Sheet'!H57,0)</f>
        <v>11.87</v>
      </c>
      <c r="F51" s="12">
        <f>IFERROR('Data Sheet'!I57,0)</f>
        <v>11.91</v>
      </c>
      <c r="G51" s="12">
        <f>IFERROR('Data Sheet'!J57,0)</f>
        <v>11.96</v>
      </c>
      <c r="H51" s="12">
        <f>IFERROR('Data Sheet'!K57,0)</f>
        <v>12.05</v>
      </c>
    </row>
    <row r="52" spans="1:8" x14ac:dyDescent="0.3">
      <c r="B52" t="s">
        <v>34</v>
      </c>
      <c r="C52" s="12">
        <f>IFERROR('Data Sheet'!F58,0)</f>
        <v>529.76</v>
      </c>
      <c r="D52" s="12">
        <f>IFERROR('Data Sheet'!G58,0)</f>
        <v>725.59</v>
      </c>
      <c r="E52" s="12">
        <f>IFERROR('Data Sheet'!H58,0)</f>
        <v>984.91</v>
      </c>
      <c r="F52" s="12">
        <f>IFERROR('Data Sheet'!I58,0)</f>
        <v>1273</v>
      </c>
      <c r="G52" s="12">
        <f>IFERROR('Data Sheet'!J58,0)</f>
        <v>1682.89</v>
      </c>
      <c r="H52" s="12">
        <f>IFERROR('Data Sheet'!K58,0)</f>
        <v>2998.15</v>
      </c>
    </row>
    <row r="53" spans="1:8" x14ac:dyDescent="0.3">
      <c r="B53" t="s">
        <v>35</v>
      </c>
      <c r="C53" s="12">
        <f>IFERROR('Data Sheet'!F59,0)</f>
        <v>86.67</v>
      </c>
      <c r="D53" s="12">
        <f>IFERROR('Data Sheet'!G59,0)</f>
        <v>294.52999999999997</v>
      </c>
      <c r="E53" s="12">
        <f>IFERROR('Data Sheet'!H59,0)</f>
        <v>666.9</v>
      </c>
      <c r="F53" s="12">
        <f>IFERROR('Data Sheet'!I59,0)</f>
        <v>453.09</v>
      </c>
      <c r="G53" s="12">
        <f>IFERROR('Data Sheet'!J59,0)</f>
        <v>488.98</v>
      </c>
      <c r="H53" s="12">
        <f>IFERROR('Data Sheet'!K59,0)</f>
        <v>670.96</v>
      </c>
    </row>
    <row r="54" spans="1:8" x14ac:dyDescent="0.3">
      <c r="B54" t="s">
        <v>36</v>
      </c>
      <c r="C54" s="12">
        <f>IFERROR('Data Sheet'!F60,0)</f>
        <v>1068.96</v>
      </c>
      <c r="D54" s="12">
        <f>IFERROR('Data Sheet'!G60,0)</f>
        <v>1813.83</v>
      </c>
      <c r="E54" s="12">
        <f>IFERROR('Data Sheet'!H60,0)</f>
        <v>2613.4899999999998</v>
      </c>
      <c r="F54" s="12">
        <f>IFERROR('Data Sheet'!I60,0)</f>
        <v>2941.43</v>
      </c>
      <c r="G54" s="12">
        <f>IFERROR('Data Sheet'!J60,0)</f>
        <v>4805.7</v>
      </c>
      <c r="H54" s="12">
        <f>IFERROR('Data Sheet'!K60,0)</f>
        <v>13076.59</v>
      </c>
    </row>
    <row r="55" spans="1:8" x14ac:dyDescent="0.3">
      <c r="B55" s="22" t="s">
        <v>80</v>
      </c>
      <c r="C55" s="24">
        <f>IFERROR('Data Sheet'!F61,0)</f>
        <v>1696.96</v>
      </c>
      <c r="D55" s="24">
        <f>IFERROR('Data Sheet'!G61,0)</f>
        <v>2845.66</v>
      </c>
      <c r="E55" s="24">
        <f>IFERROR('Data Sheet'!H61,0)</f>
        <v>4277.17</v>
      </c>
      <c r="F55" s="24">
        <f>IFERROR('Data Sheet'!I61,0)</f>
        <v>4679.43</v>
      </c>
      <c r="G55" s="24">
        <f>IFERROR('Data Sheet'!J61,0)</f>
        <v>6989.53</v>
      </c>
      <c r="H55" s="24">
        <f>IFERROR('Data Sheet'!K61,0)</f>
        <v>16757.75</v>
      </c>
    </row>
    <row r="57" spans="1:8" x14ac:dyDescent="0.3">
      <c r="B57" t="s">
        <v>81</v>
      </c>
      <c r="C57" s="12">
        <f>IFERROR('Data Sheet'!F62,0)</f>
        <v>414.08</v>
      </c>
      <c r="D57" s="12">
        <f>IFERROR('Data Sheet'!G62,0)</f>
        <v>550.23</v>
      </c>
      <c r="E57" s="12">
        <f>IFERROR('Data Sheet'!H62,0)</f>
        <v>1003.29</v>
      </c>
      <c r="F57" s="12">
        <f>IFERROR('Data Sheet'!I62,0)</f>
        <v>1243.6400000000001</v>
      </c>
      <c r="G57" s="12">
        <f>IFERROR('Data Sheet'!J62,0)</f>
        <v>1996.25</v>
      </c>
      <c r="H57" s="12">
        <f>IFERROR('Data Sheet'!K62,0)</f>
        <v>2773.76</v>
      </c>
    </row>
    <row r="58" spans="1:8" x14ac:dyDescent="0.3">
      <c r="B58" t="s">
        <v>39</v>
      </c>
      <c r="C58" s="12">
        <f>IFERROR('Data Sheet'!F63,0)</f>
        <v>9.5500000000000007</v>
      </c>
      <c r="D58" s="12">
        <f>IFERROR('Data Sheet'!G63,0)</f>
        <v>72.39</v>
      </c>
      <c r="E58" s="12">
        <f>IFERROR('Data Sheet'!H63,0)</f>
        <v>22.39</v>
      </c>
      <c r="F58" s="12">
        <f>IFERROR('Data Sheet'!I63,0)</f>
        <v>119.7</v>
      </c>
      <c r="G58" s="12">
        <f>IFERROR('Data Sheet'!J63,0)</f>
        <v>68.34</v>
      </c>
      <c r="H58" s="12">
        <f>IFERROR('Data Sheet'!K63,0)</f>
        <v>256.95</v>
      </c>
    </row>
    <row r="59" spans="1:8" x14ac:dyDescent="0.3">
      <c r="B59" t="s">
        <v>40</v>
      </c>
      <c r="C59" s="12">
        <f>IFERROR('Data Sheet'!F64,0)</f>
        <v>0</v>
      </c>
      <c r="D59" s="12">
        <f>IFERROR('Data Sheet'!G64,0)</f>
        <v>95.25</v>
      </c>
      <c r="E59" s="12">
        <f>IFERROR('Data Sheet'!H64,0)</f>
        <v>140.96</v>
      </c>
      <c r="F59" s="12">
        <f>IFERROR('Data Sheet'!I64,0)</f>
        <v>44.15</v>
      </c>
      <c r="G59" s="12">
        <f>IFERROR('Data Sheet'!J64,0)</f>
        <v>20.04</v>
      </c>
      <c r="H59" s="12">
        <f>IFERROR('Data Sheet'!K64,0)</f>
        <v>535.6</v>
      </c>
    </row>
    <row r="60" spans="1:8" x14ac:dyDescent="0.3">
      <c r="B60" t="s">
        <v>41</v>
      </c>
      <c r="C60" s="12">
        <f>IFERROR('Data Sheet'!F65-SUM('Data Sheet'!F67:F69),0)</f>
        <v>160.20999999999981</v>
      </c>
      <c r="D60" s="12">
        <f>IFERROR('Data Sheet'!G65-SUM('Data Sheet'!G67:G69),0)</f>
        <v>226.59999999999991</v>
      </c>
      <c r="E60" s="12">
        <f>IFERROR('Data Sheet'!H65-SUM('Data Sheet'!H67:H69),0)</f>
        <v>416.15000000000009</v>
      </c>
      <c r="F60" s="12">
        <f>IFERROR('Data Sheet'!I65-SUM('Data Sheet'!I67:I69),0)</f>
        <v>369.44000000000005</v>
      </c>
      <c r="G60" s="12">
        <f>IFERROR('Data Sheet'!J65-SUM('Data Sheet'!J67:J69),0)</f>
        <v>683.35999999999967</v>
      </c>
      <c r="H60" s="12">
        <f>IFERROR('Data Sheet'!K65-SUM('Data Sheet'!K67:K69),0)</f>
        <v>1970.0599999999995</v>
      </c>
    </row>
    <row r="61" spans="1:8" x14ac:dyDescent="0.3">
      <c r="B61" s="22" t="s">
        <v>82</v>
      </c>
      <c r="C61" s="24">
        <f t="shared" ref="C61:H61" si="18">SUM(C57:C60)</f>
        <v>583.8399999999998</v>
      </c>
      <c r="D61" s="24">
        <f t="shared" si="18"/>
        <v>944.46999999999991</v>
      </c>
      <c r="E61" s="24">
        <f t="shared" si="18"/>
        <v>1582.7900000000002</v>
      </c>
      <c r="F61" s="24">
        <f t="shared" si="18"/>
        <v>1776.9300000000003</v>
      </c>
      <c r="G61" s="24">
        <f t="shared" si="18"/>
        <v>2767.99</v>
      </c>
      <c r="H61" s="24">
        <f t="shared" si="18"/>
        <v>5536.369999999999</v>
      </c>
    </row>
    <row r="62" spans="1:8" x14ac:dyDescent="0.3">
      <c r="B62" s="11"/>
    </row>
    <row r="63" spans="1:8" x14ac:dyDescent="0.3">
      <c r="B63" t="s">
        <v>42</v>
      </c>
      <c r="C63" s="12">
        <f>IFERROR('Data Sheet'!F67,0)</f>
        <v>515.12</v>
      </c>
      <c r="D63" s="12">
        <f>IFERROR('Data Sheet'!G67,0)</f>
        <v>1089.06</v>
      </c>
      <c r="E63" s="12">
        <f>IFERROR('Data Sheet'!H67,0)</f>
        <v>1356.35</v>
      </c>
      <c r="F63" s="12">
        <f>IFERROR('Data Sheet'!I67,0)</f>
        <v>1715.45</v>
      </c>
      <c r="G63" s="12">
        <f>IFERROR('Data Sheet'!J67,0)</f>
        <v>2317.88</v>
      </c>
      <c r="H63" s="12">
        <f>IFERROR('Data Sheet'!K67,0)</f>
        <v>6965.45</v>
      </c>
    </row>
    <row r="64" spans="1:8" x14ac:dyDescent="0.3">
      <c r="B64" t="s">
        <v>43</v>
      </c>
      <c r="C64" s="12">
        <f>IFERROR('Data Sheet'!F68,0)</f>
        <v>497.84</v>
      </c>
      <c r="D64" s="12">
        <f>IFERROR('Data Sheet'!G68,0)</f>
        <v>743.25</v>
      </c>
      <c r="E64" s="12">
        <f>IFERROR('Data Sheet'!H68,0)</f>
        <v>1155.69</v>
      </c>
      <c r="F64" s="12">
        <f>IFERROR('Data Sheet'!I68,0)</f>
        <v>957.87</v>
      </c>
      <c r="G64" s="12">
        <f>IFERROR('Data Sheet'!J68,0)</f>
        <v>1695.01</v>
      </c>
      <c r="H64" s="12">
        <f>IFERROR('Data Sheet'!K68,0)</f>
        <v>3992.4</v>
      </c>
    </row>
    <row r="65" spans="1:8" x14ac:dyDescent="0.3">
      <c r="B65" t="s">
        <v>44</v>
      </c>
      <c r="C65" s="12">
        <f>IFERROR('Data Sheet'!F69,0)</f>
        <v>100.16</v>
      </c>
      <c r="D65" s="12">
        <f>IFERROR('Data Sheet'!G69,0)</f>
        <v>68.88</v>
      </c>
      <c r="E65" s="12">
        <f>IFERROR('Data Sheet'!H69,0)</f>
        <v>182.34</v>
      </c>
      <c r="F65" s="12">
        <f>IFERROR('Data Sheet'!I69,0)</f>
        <v>229.18</v>
      </c>
      <c r="G65" s="12">
        <f>IFERROR('Data Sheet'!J69,0)</f>
        <v>208.65</v>
      </c>
      <c r="H65" s="12">
        <f>IFERROR('Data Sheet'!K69,0)</f>
        <v>263.52999999999997</v>
      </c>
    </row>
    <row r="66" spans="1:8" x14ac:dyDescent="0.3">
      <c r="B66" s="22" t="s">
        <v>83</v>
      </c>
      <c r="C66" s="24">
        <f t="shared" ref="C66:H66" si="19">IFERROR(SUM(C63:C65),0)</f>
        <v>1113.1200000000001</v>
      </c>
      <c r="D66" s="24">
        <f t="shared" si="19"/>
        <v>1901.19</v>
      </c>
      <c r="E66" s="24">
        <f t="shared" si="19"/>
        <v>2694.38</v>
      </c>
      <c r="F66" s="24">
        <f t="shared" si="19"/>
        <v>2902.5</v>
      </c>
      <c r="G66" s="24">
        <f t="shared" si="19"/>
        <v>4221.54</v>
      </c>
      <c r="H66" s="24">
        <f t="shared" si="19"/>
        <v>11221.380000000001</v>
      </c>
    </row>
    <row r="68" spans="1:8" x14ac:dyDescent="0.3">
      <c r="B68" s="22" t="s">
        <v>84</v>
      </c>
      <c r="C68" s="24">
        <f t="shared" ref="C68:H68" si="20">IFERROR(C66+C61,0)</f>
        <v>1696.96</v>
      </c>
      <c r="D68" s="24">
        <f t="shared" si="20"/>
        <v>2845.66</v>
      </c>
      <c r="E68" s="24">
        <f t="shared" si="20"/>
        <v>4277.17</v>
      </c>
      <c r="F68" s="24">
        <f t="shared" si="20"/>
        <v>4679.43</v>
      </c>
      <c r="G68" s="24">
        <f t="shared" si="20"/>
        <v>6989.53</v>
      </c>
      <c r="H68" s="24">
        <f t="shared" si="20"/>
        <v>16757.75</v>
      </c>
    </row>
    <row r="70" spans="1:8" x14ac:dyDescent="0.3">
      <c r="B70" s="14" t="s">
        <v>85</v>
      </c>
      <c r="C70" s="55" t="b">
        <f t="shared" ref="C70:H70" si="21">C68=C55</f>
        <v>1</v>
      </c>
      <c r="D70" s="55" t="b">
        <f t="shared" si="21"/>
        <v>1</v>
      </c>
      <c r="E70" s="55" t="b">
        <f t="shared" si="21"/>
        <v>1</v>
      </c>
      <c r="F70" s="55" t="b">
        <f t="shared" si="21"/>
        <v>1</v>
      </c>
      <c r="G70" s="55" t="b">
        <f t="shared" si="21"/>
        <v>1</v>
      </c>
      <c r="H70" s="55" t="b">
        <f t="shared" si="21"/>
        <v>1</v>
      </c>
    </row>
    <row r="72" spans="1:8" x14ac:dyDescent="0.3">
      <c r="A72" t="s">
        <v>58</v>
      </c>
      <c r="B72" s="20" t="s">
        <v>86</v>
      </c>
      <c r="C72" s="21"/>
      <c r="D72" s="21"/>
      <c r="E72" s="21"/>
      <c r="F72" s="21"/>
      <c r="G72" s="21"/>
      <c r="H72" s="21"/>
    </row>
    <row r="73" spans="1:8" x14ac:dyDescent="0.3">
      <c r="B73" s="11"/>
    </row>
    <row r="74" spans="1:8" x14ac:dyDescent="0.3">
      <c r="B74" t="s">
        <v>87</v>
      </c>
      <c r="C74" s="12">
        <f>'Data Sheet'!F82</f>
        <v>237.34</v>
      </c>
      <c r="D74" s="12">
        <f>'Data Sheet'!G82</f>
        <v>170.11</v>
      </c>
      <c r="E74" s="12">
        <f>'Data Sheet'!H82</f>
        <v>272.74</v>
      </c>
      <c r="F74" s="12">
        <f>'Data Sheet'!I82</f>
        <v>725.75</v>
      </c>
      <c r="G74" s="12">
        <f>'Data Sheet'!J82</f>
        <v>584.30999999999995</v>
      </c>
      <c r="H74" s="12">
        <f>'Data Sheet'!K82</f>
        <v>1149.75</v>
      </c>
    </row>
    <row r="76" spans="1:8" x14ac:dyDescent="0.3">
      <c r="B76" t="s">
        <v>88</v>
      </c>
      <c r="C76" s="12">
        <f>'Data Sheet'!F83</f>
        <v>-98.75</v>
      </c>
      <c r="D76" s="12">
        <f>'Data Sheet'!G83</f>
        <v>-265.39999999999998</v>
      </c>
      <c r="E76" s="12">
        <f>'Data Sheet'!H83</f>
        <v>-464.46</v>
      </c>
      <c r="F76" s="12">
        <f>'Data Sheet'!I83</f>
        <v>-355.55</v>
      </c>
      <c r="G76" s="12">
        <f>'Data Sheet'!J83</f>
        <v>-530.9</v>
      </c>
      <c r="H76" s="12">
        <f>'Data Sheet'!K83</f>
        <v>-1092.81</v>
      </c>
    </row>
    <row r="78" spans="1:8" x14ac:dyDescent="0.3">
      <c r="B78" t="s">
        <v>89</v>
      </c>
      <c r="C78" s="12">
        <f>'Data Sheet'!F84</f>
        <v>-57.36</v>
      </c>
      <c r="D78" s="12">
        <f>'Data Sheet'!G84</f>
        <v>63.47</v>
      </c>
      <c r="E78" s="12">
        <f>'Data Sheet'!H84</f>
        <v>304.32</v>
      </c>
      <c r="F78" s="12">
        <f>'Data Sheet'!I84</f>
        <v>-329.62</v>
      </c>
      <c r="G78" s="12">
        <f>'Data Sheet'!J84</f>
        <v>-69.97</v>
      </c>
      <c r="H78" s="12">
        <f>'Data Sheet'!K84</f>
        <v>-26.57</v>
      </c>
    </row>
    <row r="80" spans="1:8" x14ac:dyDescent="0.3">
      <c r="B80" s="52" t="s">
        <v>52</v>
      </c>
      <c r="C80" s="53">
        <f t="shared" ref="C80:H80" si="22">IFERROR(C74+C76+C78,0)</f>
        <v>81.23</v>
      </c>
      <c r="D80" s="53">
        <f t="shared" si="22"/>
        <v>-31.819999999999965</v>
      </c>
      <c r="E80" s="53">
        <f t="shared" si="22"/>
        <v>112.60000000000002</v>
      </c>
      <c r="F80" s="53">
        <f t="shared" si="22"/>
        <v>40.579999999999984</v>
      </c>
      <c r="G80" s="53">
        <f t="shared" si="22"/>
        <v>-16.560000000000031</v>
      </c>
      <c r="H80" s="53">
        <f t="shared" si="22"/>
        <v>30.370000000000054</v>
      </c>
    </row>
    <row r="82" spans="2:10" x14ac:dyDescent="0.3">
      <c r="B82" s="14" t="s">
        <v>128</v>
      </c>
      <c r="C82" s="56">
        <f>IFERROR('Data Sheet'!E69,0)</f>
        <v>36.72</v>
      </c>
      <c r="D82" s="56">
        <f>IFERROR('Data Sheet'!F69,0)</f>
        <v>100.16</v>
      </c>
      <c r="E82" s="56">
        <f>IFERROR('Data Sheet'!G69,0)</f>
        <v>68.88</v>
      </c>
      <c r="F82" s="56">
        <f>IFERROR('Data Sheet'!H69,0)</f>
        <v>182.34</v>
      </c>
      <c r="G82" s="56">
        <f>IFERROR('Data Sheet'!I69,0)</f>
        <v>229.18</v>
      </c>
      <c r="H82" s="56">
        <f>IFERROR('Data Sheet'!J69,0)</f>
        <v>208.65</v>
      </c>
    </row>
    <row r="83" spans="2:10" x14ac:dyDescent="0.3">
      <c r="B83" s="14" t="s">
        <v>129</v>
      </c>
      <c r="C83" s="56">
        <f>IFERROR(C65,0)</f>
        <v>100.16</v>
      </c>
      <c r="D83" s="56">
        <f t="shared" ref="D83:H83" si="23">IFERROR(D65,0)</f>
        <v>68.88</v>
      </c>
      <c r="E83" s="56">
        <f t="shared" si="23"/>
        <v>182.34</v>
      </c>
      <c r="F83" s="56">
        <f t="shared" si="23"/>
        <v>229.18</v>
      </c>
      <c r="G83" s="56">
        <f t="shared" si="23"/>
        <v>208.65</v>
      </c>
      <c r="H83" s="56">
        <f t="shared" si="23"/>
        <v>263.52999999999997</v>
      </c>
    </row>
    <row r="84" spans="2:10" x14ac:dyDescent="0.3">
      <c r="B84" s="14" t="s">
        <v>131</v>
      </c>
      <c r="C84" s="56">
        <f>('Data Sheet'!F69-'Data Sheet'!E69)-HistoricalFS!C80</f>
        <v>-17.790000000000006</v>
      </c>
      <c r="D84" s="56">
        <f>('Data Sheet'!G69-'Data Sheet'!F69)-HistoricalFS!D80</f>
        <v>0.53999999999996362</v>
      </c>
      <c r="E84" s="56">
        <f>('Data Sheet'!H69-'Data Sheet'!G69)-HistoricalFS!E80</f>
        <v>0.85999999999998522</v>
      </c>
      <c r="F84" s="56">
        <f>('Data Sheet'!I69-'Data Sheet'!H69)-HistoricalFS!F80</f>
        <v>6.2600000000000193</v>
      </c>
      <c r="G84" s="56">
        <f>('Data Sheet'!J69-'Data Sheet'!I69)-HistoricalFS!G80</f>
        <v>-3.9699999999999704</v>
      </c>
      <c r="H84" s="56">
        <f>('Data Sheet'!K69-'Data Sheet'!J69)-HistoricalFS!H80</f>
        <v>24.509999999999913</v>
      </c>
    </row>
    <row r="85" spans="2:10" x14ac:dyDescent="0.3">
      <c r="B85" s="73" t="s">
        <v>130</v>
      </c>
      <c r="C85" s="74">
        <f>C84+C80</f>
        <v>63.44</v>
      </c>
      <c r="D85" s="74">
        <f t="shared" ref="D85:H85" si="24">D84+D80</f>
        <v>-31.28</v>
      </c>
      <c r="E85" s="74">
        <f t="shared" si="24"/>
        <v>113.46000000000001</v>
      </c>
      <c r="F85" s="74">
        <f t="shared" si="24"/>
        <v>46.84</v>
      </c>
      <c r="G85" s="74">
        <f t="shared" si="24"/>
        <v>-20.53</v>
      </c>
      <c r="H85" s="74">
        <f t="shared" si="24"/>
        <v>54.879999999999967</v>
      </c>
    </row>
    <row r="87" spans="2:10" x14ac:dyDescent="0.3">
      <c r="B87" s="14" t="s">
        <v>85</v>
      </c>
      <c r="C87" s="55" t="str">
        <f>IF(ABS(C82+C85-C83)&lt;1, "TRUE", "FALSE")</f>
        <v>TRUE</v>
      </c>
      <c r="D87" s="55" t="str">
        <f t="shared" ref="D87:H87" si="25">IF(ABS(D82+D85-D83)&lt;1, "TRUE", "FALSE")</f>
        <v>TRUE</v>
      </c>
      <c r="E87" s="55" t="str">
        <f t="shared" si="25"/>
        <v>TRUE</v>
      </c>
      <c r="F87" s="55" t="str">
        <f t="shared" si="25"/>
        <v>TRUE</v>
      </c>
      <c r="G87" s="55" t="str">
        <f t="shared" si="25"/>
        <v>TRUE</v>
      </c>
      <c r="H87" s="55" t="str">
        <f t="shared" si="25"/>
        <v>TRUE</v>
      </c>
    </row>
    <row r="89" spans="2:10" x14ac:dyDescent="0.3">
      <c r="B89" s="106" t="s">
        <v>132</v>
      </c>
      <c r="C89" s="107"/>
      <c r="D89" s="107"/>
      <c r="E89" s="107"/>
      <c r="F89" s="107"/>
      <c r="G89" s="107"/>
      <c r="H89" s="107"/>
      <c r="I89" s="107"/>
      <c r="J89" s="108"/>
    </row>
  </sheetData>
  <mergeCells count="3">
    <mergeCell ref="B89:J89"/>
    <mergeCell ref="B2:H2"/>
    <mergeCell ref="B47:J47"/>
  </mergeCells>
  <pageMargins left="0.7" right="0.7" top="0.75" bottom="0.75" header="0.3" footer="0.3"/>
  <pageSetup orientation="portrait" r:id="rId1"/>
  <ignoredErrors>
    <ignoredError sqref="C15:H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61D-83CE-4C5B-8D6F-24F11CFFFE30}">
  <dimension ref="B2:K42"/>
  <sheetViews>
    <sheetView showGridLines="0" zoomScale="80" zoomScaleNormal="8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I47" sqref="I47"/>
    </sheetView>
  </sheetViews>
  <sheetFormatPr defaultRowHeight="14.4" x14ac:dyDescent="0.3"/>
  <cols>
    <col min="1" max="1" width="1.88671875" customWidth="1"/>
    <col min="2" max="2" width="23.88671875" bestFit="1" customWidth="1"/>
    <col min="3" max="4" width="9" bestFit="1" customWidth="1"/>
    <col min="5" max="5" width="8.6640625" bestFit="1" customWidth="1"/>
    <col min="6" max="7" width="9" bestFit="1" customWidth="1"/>
    <col min="8" max="8" width="9.6640625" bestFit="1" customWidth="1"/>
    <col min="9" max="9" width="19.77734375" customWidth="1"/>
    <col min="10" max="10" width="8.6640625" bestFit="1" customWidth="1"/>
    <col min="11" max="11" width="8" bestFit="1" customWidth="1"/>
  </cols>
  <sheetData>
    <row r="2" spans="2:11" x14ac:dyDescent="0.3">
      <c r="B2" s="101" t="str">
        <f>"Ratio Analysis of - "&amp;'Data Sheet'!B1</f>
        <v>Ratio Analysis of - DIXON TECHNOLOGIES (INDIA) LTD</v>
      </c>
      <c r="C2" s="101"/>
      <c r="D2" s="101"/>
      <c r="E2" s="101"/>
      <c r="F2" s="101"/>
      <c r="G2" s="101"/>
      <c r="H2" s="101"/>
      <c r="I2" s="101"/>
      <c r="J2" s="101"/>
      <c r="K2" s="101"/>
    </row>
    <row r="3" spans="2:11" x14ac:dyDescent="0.3">
      <c r="B3" s="67" t="s">
        <v>56</v>
      </c>
      <c r="C3" s="69">
        <f>'Data Sheet'!F16</f>
        <v>43921</v>
      </c>
      <c r="D3" s="69">
        <f>'Data Sheet'!G16</f>
        <v>44286</v>
      </c>
      <c r="E3" s="69">
        <f>'Data Sheet'!H16</f>
        <v>44651</v>
      </c>
      <c r="F3" s="69">
        <f>'Data Sheet'!I16</f>
        <v>45016</v>
      </c>
      <c r="G3" s="69">
        <f>'Data Sheet'!J16</f>
        <v>45382</v>
      </c>
      <c r="H3" s="69">
        <f>'Data Sheet'!K16</f>
        <v>45747</v>
      </c>
      <c r="I3" s="72" t="s">
        <v>122</v>
      </c>
      <c r="J3" s="71" t="s">
        <v>120</v>
      </c>
      <c r="K3" s="71" t="s">
        <v>121</v>
      </c>
    </row>
    <row r="5" spans="2:11" x14ac:dyDescent="0.3">
      <c r="B5" s="29" t="s">
        <v>94</v>
      </c>
      <c r="C5" s="30">
        <f>IFERROR(HistoricalFS!C7,0)</f>
        <v>0</v>
      </c>
      <c r="D5" s="30">
        <f>IFERROR(HistoricalFS!D7,0)</f>
        <v>0.46545321491232072</v>
      </c>
      <c r="E5" s="30">
        <f>IFERROR(HistoricalFS!E7,0)</f>
        <v>0.65893268942971406</v>
      </c>
      <c r="F5" s="30">
        <f>IFERROR(HistoricalFS!F7,0)</f>
        <v>0.13975122182876087</v>
      </c>
      <c r="G5" s="30">
        <f>IFERROR(HistoricalFS!G7,0)</f>
        <v>0.45102407232277542</v>
      </c>
      <c r="H5" s="30">
        <f>IFERROR(HistoricalFS!H7,0)</f>
        <v>1.1966152089492335</v>
      </c>
      <c r="I5" s="30"/>
      <c r="J5" s="33">
        <f>IFERROR(AVERAGE(C5:H5),0)</f>
        <v>0.48529606790713409</v>
      </c>
      <c r="K5" s="30">
        <f>IFERROR(MEDIAN(C5:H5),0)</f>
        <v>0.45823864361754807</v>
      </c>
    </row>
    <row r="6" spans="2:11" x14ac:dyDescent="0.3">
      <c r="B6" t="s">
        <v>100</v>
      </c>
      <c r="C6" s="13">
        <f>IFERROR(HistoricalFS!C18/HistoricalFS!#REF!-1,0)</f>
        <v>0</v>
      </c>
      <c r="D6" s="13">
        <f>IFERROR(HistoricalFS!D18/HistoricalFS!C18-1,0)</f>
        <v>0.28253522363164807</v>
      </c>
      <c r="E6" s="13">
        <f>IFERROR(HistoricalFS!E18/HistoricalFS!D18-1,0)</f>
        <v>0.31519507186858942</v>
      </c>
      <c r="F6" s="13">
        <f>IFERROR(HistoricalFS!F18/HistoricalFS!E18-1,0)</f>
        <v>0.35167837626853804</v>
      </c>
      <c r="G6" s="13">
        <f>IFERROR(HistoricalFS!G18/HistoricalFS!F18-1,0)</f>
        <v>0.3573009914332459</v>
      </c>
      <c r="H6" s="13">
        <f>IFERROR(HistoricalFS!H18/HistoricalFS!G18-1,0)</f>
        <v>1.1485710233316788</v>
      </c>
      <c r="I6" s="13"/>
      <c r="J6" s="25">
        <f>IFERROR(AVERAGE(C6:H6),0)</f>
        <v>0.40921344775561669</v>
      </c>
      <c r="K6" s="13">
        <f>IFERROR(MEDIAN(C6:H6),0)</f>
        <v>0.33343672406856373</v>
      </c>
    </row>
    <row r="7" spans="2:11" x14ac:dyDescent="0.3">
      <c r="B7" t="s">
        <v>95</v>
      </c>
      <c r="C7" s="13">
        <f>IFERROR(HistoricalFS!C28/HistoricalFS!#REF!-1,0)</f>
        <v>0</v>
      </c>
      <c r="D7" s="13">
        <f>IFERROR(HistoricalFS!D28/HistoricalFS!C28-1,0)</f>
        <v>0.42078229948635748</v>
      </c>
      <c r="E7" s="13">
        <f>IFERROR(HistoricalFS!E28/HistoricalFS!D28-1,0)</f>
        <v>0.16309788654060875</v>
      </c>
      <c r="F7" s="13">
        <f>IFERROR(HistoricalFS!F28/HistoricalFS!E28-1,0)</f>
        <v>0.3578402072125888</v>
      </c>
      <c r="G7" s="13">
        <f>IFERROR(HistoricalFS!G28/HistoricalFS!F28-1,0)</f>
        <v>0.35644900953778325</v>
      </c>
      <c r="H7" s="13">
        <f>IFERROR(HistoricalFS!H28/HistoricalFS!G28-1,0)</f>
        <v>1.3199627874775537</v>
      </c>
      <c r="I7" s="13"/>
      <c r="J7" s="25">
        <f>IFERROR(AVERAGE(C7:H7),0)</f>
        <v>0.43635536504248201</v>
      </c>
      <c r="K7" s="13">
        <f>IFERROR(MEDIAN(C7:H7),0)</f>
        <v>0.35714460837518602</v>
      </c>
    </row>
    <row r="8" spans="2:11" x14ac:dyDescent="0.3">
      <c r="B8" t="s">
        <v>99</v>
      </c>
      <c r="C8" s="13">
        <f>IFERROR(HistoricalFS!C34/HistoricalFS!#REF!-1,0)</f>
        <v>0</v>
      </c>
      <c r="D8" s="13">
        <f>IFERROR(HistoricalFS!D34/HistoricalFS!C34-1,0)</f>
        <v>0.37165844796261172</v>
      </c>
      <c r="E8" s="13">
        <f>IFERROR(HistoricalFS!E34/HistoricalFS!D34-1,0)</f>
        <v>0.17672658467361546</v>
      </c>
      <c r="F8" s="13">
        <f>IFERROR(HistoricalFS!F34/HistoricalFS!E34-1,0)</f>
        <v>0.34560754676528482</v>
      </c>
      <c r="G8" s="13">
        <f>IFERROR(HistoricalFS!G34/HistoricalFS!F34-1,0)</f>
        <v>0.36745668193586778</v>
      </c>
      <c r="H8" s="13">
        <f>IFERROR(HistoricalFS!H34/HistoricalFS!G34-1,0)</f>
        <v>1.1412467229828143</v>
      </c>
      <c r="I8" s="13"/>
      <c r="J8" s="25">
        <f>IFERROR(AVERAGE(C8:H8),0)</f>
        <v>0.4004493307200323</v>
      </c>
      <c r="K8" s="13">
        <f>IFERROR(MEDIAN(C8:H8),0)</f>
        <v>0.3565321143505763</v>
      </c>
    </row>
    <row r="9" spans="2:11" x14ac:dyDescent="0.3">
      <c r="B9" t="s">
        <v>98</v>
      </c>
      <c r="C9" s="13">
        <f>IFERROR(HistoricalFS!C42/HistoricalFS!#REF!-1,0)</f>
        <v>0</v>
      </c>
      <c r="D9" s="13">
        <f>IFERROR(HistoricalFS!D42/HistoricalFS!C42-1,0)</f>
        <v>0.25053995680345564</v>
      </c>
      <c r="E9" s="13">
        <f>IFERROR(HistoricalFS!E42/HistoricalFS!D42-1,0)</f>
        <v>1.0016863406408092</v>
      </c>
      <c r="F9" s="13">
        <f>IFERROR(HistoricalFS!F42/HistoricalFS!E42-1,0)</f>
        <v>0.49705987119974226</v>
      </c>
      <c r="G9" s="13">
        <f>IFERROR(HistoricalFS!G42/HistoricalFS!F42-1,0)</f>
        <v>0.66853303471444536</v>
      </c>
      <c r="H9" s="13">
        <f>IFERROR(HistoricalFS!H42/HistoricalFS!G42-1,0)</f>
        <v>0.60132890365448532</v>
      </c>
      <c r="I9" s="13"/>
      <c r="J9" s="25">
        <f>IFERROR(AVERAGE(C9:H9),0)</f>
        <v>0.50319135116882296</v>
      </c>
      <c r="K9" s="13">
        <f>IFERROR(MEDIAN(C9:H9),0)</f>
        <v>0.54919438742711379</v>
      </c>
    </row>
    <row r="10" spans="2:11" x14ac:dyDescent="0.3"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2:11" x14ac:dyDescent="0.3">
      <c r="B11" s="29" t="s">
        <v>90</v>
      </c>
      <c r="C11" s="30">
        <f>IFERROR(HistoricalFS!C13,0)</f>
        <v>6.3727807423434077E-2</v>
      </c>
      <c r="D11" s="30">
        <f>IFERROR(HistoricalFS!D13,0)</f>
        <v>5.663932557609358E-2</v>
      </c>
      <c r="E11" s="30">
        <f>IFERROR(HistoricalFS!E13,0)</f>
        <v>4.4097080698658038E-2</v>
      </c>
      <c r="F11" s="30">
        <f>IFERROR(HistoricalFS!F13,0)</f>
        <v>5.1319675754859163E-2</v>
      </c>
      <c r="G11" s="30">
        <f>IFERROR(HistoricalFS!G13,0)</f>
        <v>4.726610856429013E-2</v>
      </c>
      <c r="H11" s="30">
        <f>IFERROR(HistoricalFS!H13,0)</f>
        <v>4.487353352152982E-2</v>
      </c>
      <c r="I11" s="29"/>
      <c r="J11" s="33">
        <f>IFERROR(AVERAGE(C11:H11),0)</f>
        <v>5.1320588589810805E-2</v>
      </c>
      <c r="K11" s="30">
        <f>IFERROR(MEDIAN(C11:H11),0)</f>
        <v>4.929289215957465E-2</v>
      </c>
    </row>
    <row r="12" spans="2:11" x14ac:dyDescent="0.3">
      <c r="B12" t="s">
        <v>91</v>
      </c>
      <c r="C12" s="13">
        <f>IFERROR(HistoricalFS!C19,0)</f>
        <v>5.1778133323636809E-2</v>
      </c>
      <c r="D12" s="13">
        <f>IFERROR(HistoricalFS!D19,0)</f>
        <v>4.5315182447112801E-2</v>
      </c>
      <c r="E12" s="13">
        <f>IFERROR(HistoricalFS!E19,0)</f>
        <v>3.5925691871052753E-2</v>
      </c>
      <c r="F12" s="13">
        <f>IFERROR(HistoricalFS!F19,0)</f>
        <v>4.2605772140934965E-2</v>
      </c>
      <c r="G12" s="13">
        <f>IFERROR(HistoricalFS!G19,0)</f>
        <v>3.9853823152016021E-2</v>
      </c>
      <c r="H12" s="13">
        <f>IFERROR(HistoricalFS!H19,0)</f>
        <v>3.8982143638333432E-2</v>
      </c>
      <c r="J12" s="25">
        <f>IFERROR(AVERAGE(C12:H12),0)</f>
        <v>4.2410124428847791E-2</v>
      </c>
      <c r="K12" s="13">
        <f>IFERROR(MEDIAN(C12:H12),0)</f>
        <v>4.1229797646475497E-2</v>
      </c>
    </row>
    <row r="13" spans="2:11" x14ac:dyDescent="0.3">
      <c r="B13" t="s">
        <v>101</v>
      </c>
      <c r="C13" s="13">
        <f>IFERROR((HistoricalFS!C28+HistoricalFS!C22)/HistoricalFS!C6,0)</f>
        <v>4.3476087015808837E-2</v>
      </c>
      <c r="D13" s="13">
        <f>IFERROR((HistoricalFS!D28+HistoricalFS!D22)/HistoricalFS!D6,0)</f>
        <v>3.85349641836365E-2</v>
      </c>
      <c r="E13" s="13">
        <f>IFERROR((HistoricalFS!E28+HistoricalFS!E22)/HistoricalFS!E6,0)</f>
        <v>2.8077755798778824E-2</v>
      </c>
      <c r="F13" s="13">
        <f>IFERROR((HistoricalFS!F28+HistoricalFS!F22)/HistoricalFS!F6,0)</f>
        <v>3.320371292346385E-2</v>
      </c>
      <c r="G13" s="13">
        <f>IFERROR((HistoricalFS!G28+HistoricalFS!G22)/HistoricalFS!G6,0)</f>
        <v>3.0703355962670088E-2</v>
      </c>
      <c r="H13" s="13">
        <f>IFERROR((HistoricalFS!H28+HistoricalFS!H22)/HistoricalFS!H6,0)</f>
        <v>3.1750561630052444E-2</v>
      </c>
      <c r="J13" s="25">
        <f>IFERROR(AVERAGE(C13:H13),0)</f>
        <v>3.4291072919068424E-2</v>
      </c>
      <c r="K13" s="13">
        <f>IFERROR(MEDIAN(C13:H13),0)</f>
        <v>3.2477137276758147E-2</v>
      </c>
    </row>
    <row r="14" spans="2:11" x14ac:dyDescent="0.3">
      <c r="B14" t="s">
        <v>102</v>
      </c>
      <c r="C14" s="13">
        <f>IFERROR(HistoricalFS!C29,0)</f>
        <v>3.4512695108315408E-2</v>
      </c>
      <c r="D14" s="13">
        <f>IFERROR(HistoricalFS!D29,0)</f>
        <v>3.3460656279223309E-2</v>
      </c>
      <c r="E14" s="13">
        <f>IFERROR(HistoricalFS!E29,0)</f>
        <v>2.3459673107053606E-2</v>
      </c>
      <c r="F14" s="13">
        <f>IFERROR(HistoricalFS!F29,0)</f>
        <v>2.7948631931896423E-2</v>
      </c>
      <c r="G14" s="13">
        <f>IFERROR(HistoricalFS!G29,0)</f>
        <v>2.6126991843264068E-2</v>
      </c>
      <c r="H14" s="13">
        <f>IFERROR(HistoricalFS!H29,0)</f>
        <v>2.759411324211726E-2</v>
      </c>
      <c r="J14" s="25">
        <f>IFERROR(AVERAGE(C14:H14),0)</f>
        <v>2.8850460251978339E-2</v>
      </c>
      <c r="K14" s="13">
        <f>IFERROR(MEDIAN(C14:H14),0)</f>
        <v>2.7771372587006841E-2</v>
      </c>
    </row>
    <row r="15" spans="2:11" x14ac:dyDescent="0.3">
      <c r="B15" t="s">
        <v>103</v>
      </c>
      <c r="C15" s="13">
        <f>IFERROR(HistoricalFS!C35,0)</f>
        <v>2.6269738098052046E-2</v>
      </c>
      <c r="D15" s="13">
        <f>IFERROR(HistoricalFS!D35,0)</f>
        <v>2.4588371584495967E-2</v>
      </c>
      <c r="E15" s="13">
        <f>IFERROR(HistoricalFS!E35,0)</f>
        <v>1.744120825496313E-2</v>
      </c>
      <c r="F15" s="13">
        <f>IFERROR(HistoricalFS!F35,0)</f>
        <v>2.0591354501841821E-2</v>
      </c>
      <c r="G15" s="13">
        <f>IFERROR(HistoricalFS!G35,0)</f>
        <v>1.940545704288647E-2</v>
      </c>
      <c r="H15" s="13">
        <f>IFERROR(HistoricalFS!H35,0)</f>
        <v>1.8916317765523015E-2</v>
      </c>
      <c r="J15" s="25">
        <f>IFERROR(AVERAGE(C15:H15),0)</f>
        <v>2.1202074541293744E-2</v>
      </c>
      <c r="K15" s="13">
        <f>IFERROR(MEDIAN(C15:H15),0)</f>
        <v>1.9998405772364145E-2</v>
      </c>
    </row>
    <row r="16" spans="2:11" x14ac:dyDescent="0.3">
      <c r="B16" s="29"/>
      <c r="C16" s="29"/>
      <c r="D16" s="29"/>
      <c r="E16" s="29"/>
      <c r="F16" s="29"/>
      <c r="G16" s="29"/>
      <c r="H16" s="29"/>
      <c r="I16" s="29"/>
      <c r="J16" s="33"/>
      <c r="K16" s="30"/>
    </row>
    <row r="17" spans="2:11" x14ac:dyDescent="0.3">
      <c r="B17" s="29" t="s">
        <v>93</v>
      </c>
      <c r="C17" s="30">
        <f>IFERROR(HistoricalFS!C16,0)</f>
        <v>1.1949674099797278E-2</v>
      </c>
      <c r="D17" s="30">
        <f>IFERROR(HistoricalFS!D16,0)</f>
        <v>1.1324143128980783E-2</v>
      </c>
      <c r="E17" s="30">
        <f>IFERROR(HistoricalFS!E16,0)</f>
        <v>8.1713888276052898E-3</v>
      </c>
      <c r="F17" s="30">
        <f>IFERROR(HistoricalFS!F16,0)</f>
        <v>8.7139036139242017E-3</v>
      </c>
      <c r="G17" s="30">
        <f>IFERROR(HistoricalFS!G16,0)</f>
        <v>7.4122854122741066E-3</v>
      </c>
      <c r="H17" s="30">
        <f>IFERROR(HistoricalFS!H16,0)</f>
        <v>5.8913898831963896E-3</v>
      </c>
      <c r="I17" s="29"/>
      <c r="J17" s="33">
        <f>IFERROR(AVERAGE(C17:H17),0)</f>
        <v>8.9104641609630084E-3</v>
      </c>
      <c r="K17" s="30">
        <f>IFERROR(MEDIAN(C17:H17),0)</f>
        <v>8.4426462207647449E-3</v>
      </c>
    </row>
    <row r="18" spans="2:11" x14ac:dyDescent="0.3">
      <c r="B18" t="s">
        <v>67</v>
      </c>
      <c r="C18" s="13">
        <f>IFERROR(HistoricalFS!C26,0)</f>
        <v>8.3020463078279684E-3</v>
      </c>
      <c r="D18" s="13">
        <f>IFERROR(HistoricalFS!D26,0)</f>
        <v>6.7802182634763035E-3</v>
      </c>
      <c r="E18" s="13">
        <f>IFERROR(HistoricalFS!E26,0)</f>
        <v>7.8479360722739297E-3</v>
      </c>
      <c r="F18" s="13">
        <f>IFERROR(HistoricalFS!F26,0)</f>
        <v>9.4020592174711131E-3</v>
      </c>
      <c r="G18" s="13">
        <f>IFERROR(HistoricalFS!G26,0)</f>
        <v>9.1504671893459337E-3</v>
      </c>
      <c r="H18" s="13">
        <f>IFERROR(HistoricalFS!H26,0)</f>
        <v>7.2315820082809873E-3</v>
      </c>
      <c r="J18" s="25">
        <f>IFERROR(AVERAGE(C18:H18),0)</f>
        <v>8.1190515097793736E-3</v>
      </c>
      <c r="K18" s="13">
        <f>IFERROR(MEDIAN(C18:H18),0)</f>
        <v>8.074991190050949E-3</v>
      </c>
    </row>
    <row r="19" spans="2:11" x14ac:dyDescent="0.3">
      <c r="B19" t="s">
        <v>92</v>
      </c>
      <c r="C19" s="25">
        <f t="shared" ref="C19:H19" si="0">C13</f>
        <v>4.3476087015808837E-2</v>
      </c>
      <c r="D19" s="25">
        <f t="shared" si="0"/>
        <v>3.85349641836365E-2</v>
      </c>
      <c r="E19" s="25">
        <f t="shared" si="0"/>
        <v>2.8077755798778824E-2</v>
      </c>
      <c r="F19" s="25">
        <f t="shared" si="0"/>
        <v>3.320371292346385E-2</v>
      </c>
      <c r="G19" s="25">
        <f t="shared" si="0"/>
        <v>3.0703355962670088E-2</v>
      </c>
      <c r="H19" s="25">
        <f t="shared" si="0"/>
        <v>3.1750561630052444E-2</v>
      </c>
      <c r="J19" s="25">
        <f>IFERROR(AVERAGE(C19:H19),0)</f>
        <v>3.4291072919068424E-2</v>
      </c>
      <c r="K19" s="13">
        <f>IFERROR(MEDIAN(C19:H19),0)</f>
        <v>3.2477137276758147E-2</v>
      </c>
    </row>
    <row r="20" spans="2:11" x14ac:dyDescent="0.3">
      <c r="B20" s="29"/>
      <c r="C20" s="29"/>
      <c r="D20" s="29"/>
      <c r="E20" s="29"/>
      <c r="F20" s="29"/>
      <c r="G20" s="29"/>
      <c r="H20" s="29"/>
      <c r="I20" s="29"/>
      <c r="J20" s="33"/>
      <c r="K20" s="30"/>
    </row>
    <row r="21" spans="2:11" x14ac:dyDescent="0.3">
      <c r="B21" s="29" t="s">
        <v>115</v>
      </c>
      <c r="C21" s="30">
        <f>IFERROR(((HistoricalFS!C18-HistoricalFS!C25)/SUM(HistoricalFS!C51:C53)),0)</f>
        <v>0.3046178343949057</v>
      </c>
      <c r="D21" s="30">
        <f>IFERROR(((HistoricalFS!D18-HistoricalFS!D25)/SUM(HistoricalFS!D51:D53)),0)</f>
        <v>0.24081486291346382</v>
      </c>
      <c r="E21" s="30">
        <f>IFERROR(((HistoricalFS!E18-HistoricalFS!E25)/SUM(HistoricalFS!E51:E53)),0)</f>
        <v>0.18053351606078152</v>
      </c>
      <c r="F21" s="30">
        <f>IFERROR(((HistoricalFS!F18-HistoricalFS!F25)/SUM(HistoricalFS!F51:F53)),0)</f>
        <v>0.23292289988492548</v>
      </c>
      <c r="G21" s="30">
        <f>IFERROR(((HistoricalFS!G18-HistoricalFS!G25)/SUM(HistoricalFS!G51:G53)),0)</f>
        <v>0.24872357280557567</v>
      </c>
      <c r="H21" s="30">
        <f>IFERROR(((HistoricalFS!H18-HistoricalFS!H25)/SUM(HistoricalFS!H51:H53)),0)</f>
        <v>0.3351742385552382</v>
      </c>
      <c r="I21" s="29"/>
      <c r="J21" s="33">
        <f>IFERROR(AVERAGE(C21:H21),0)</f>
        <v>0.25713115410248172</v>
      </c>
      <c r="K21" s="30">
        <f>IFERROR(MEDIAN(C21:H21),0)</f>
        <v>0.24476921785951974</v>
      </c>
    </row>
    <row r="22" spans="2:11" x14ac:dyDescent="0.3">
      <c r="B22" t="s">
        <v>97</v>
      </c>
      <c r="C22" s="13">
        <f>IFERROR(HistoricalFS!C45,0)</f>
        <v>0.95994463188857193</v>
      </c>
      <c r="D22" s="13">
        <f>IFERROR(HistoricalFS!D45,0)</f>
        <v>0.96304005045726881</v>
      </c>
      <c r="E22" s="13">
        <f>IFERROR(HistoricalFS!E45,0)</f>
        <v>0.93637776705794107</v>
      </c>
      <c r="F22" s="13">
        <f>IFERROR(HistoricalFS!F45,0)</f>
        <v>0.9288587930691099</v>
      </c>
      <c r="G22" s="13">
        <f>IFERROR(HistoricalFS!G45,0)</f>
        <v>0.91290416545295672</v>
      </c>
      <c r="H22" s="13">
        <f>IFERROR(HistoricalFS!H45,0)</f>
        <v>0.93442979771184487</v>
      </c>
      <c r="J22" s="25">
        <f>IFERROR(AVERAGE(C22:H22),0)</f>
        <v>0.93925920093961546</v>
      </c>
      <c r="K22" s="13">
        <f>IFERROR(MEDIAN(C22:H22),0)</f>
        <v>0.93540378238489297</v>
      </c>
    </row>
    <row r="23" spans="2:11" x14ac:dyDescent="0.3">
      <c r="B23" t="s">
        <v>114</v>
      </c>
      <c r="C23" s="13">
        <f>IFERROR(HistoricalFS!C34/SUM(HistoricalFS!C51:C52),0)</f>
        <v>0.2135296399608386</v>
      </c>
      <c r="D23" s="13">
        <f>IFERROR(HistoricalFS!D34/SUM(HistoricalFS!D51:D52),0)</f>
        <v>0.21504136715041278</v>
      </c>
      <c r="E23" s="13">
        <f>IFERROR(HistoricalFS!E34/SUM(HistoricalFS!E51:E52),0)</f>
        <v>0.18717269608138304</v>
      </c>
      <c r="F23" s="13">
        <f>IFERROR(HistoricalFS!F34/SUM(HistoricalFS!F51:F52),0)</f>
        <v>0.19538333424130913</v>
      </c>
      <c r="G23" s="13">
        <f>IFERROR(HistoricalFS!G34/SUM(HistoricalFS!G51:G52),0)</f>
        <v>0.202554798359737</v>
      </c>
      <c r="H23" s="13">
        <f>IFERROR(HistoricalFS!H34/SUM(HistoricalFS!H51:H52),0)</f>
        <v>0.24419972094877443</v>
      </c>
      <c r="J23" s="25">
        <f>IFERROR(AVERAGE(C23:H23),0)</f>
        <v>0.2096469261237425</v>
      </c>
      <c r="K23" s="13">
        <f>IFERROR(MEDIAN(C23:H23),0)</f>
        <v>0.20804221916028781</v>
      </c>
    </row>
    <row r="24" spans="2:11" x14ac:dyDescent="0.3">
      <c r="B24" t="s">
        <v>96</v>
      </c>
      <c r="C24" s="13">
        <f t="shared" ref="C24:H24" si="1">IFERROR(C23*C22,0)</f>
        <v>0.20497663162950649</v>
      </c>
      <c r="D24" s="13">
        <f t="shared" si="1"/>
        <v>0.20709344907093358</v>
      </c>
      <c r="E24" s="13">
        <f t="shared" si="1"/>
        <v>0.17526435121090009</v>
      </c>
      <c r="F24" s="13">
        <f t="shared" si="1"/>
        <v>0.1814835280292009</v>
      </c>
      <c r="G24" s="13">
        <f t="shared" si="1"/>
        <v>0.18491311915508762</v>
      </c>
      <c r="H24" s="13">
        <f t="shared" si="1"/>
        <v>0.22818749584745227</v>
      </c>
      <c r="J24" s="25">
        <f>IFERROR(AVERAGE(C24:H24),0)</f>
        <v>0.19698642915718015</v>
      </c>
      <c r="K24" s="13">
        <f>IFERROR(MEDIAN(C24:H24),0)</f>
        <v>0.19494487539229705</v>
      </c>
    </row>
    <row r="25" spans="2:11" x14ac:dyDescent="0.3">
      <c r="B25" t="s">
        <v>104</v>
      </c>
      <c r="C25" s="26">
        <f>IFERROR((HistoricalFS!C28+HistoricalFS!C22)/HistoricalFS!C22,0)</f>
        <v>4.8504056795132042</v>
      </c>
      <c r="D25" s="26">
        <f>IFERROR((HistoricalFS!D28+HistoricalFS!D22)/HistoricalFS!D22,0)</f>
        <v>7.5941320293398338</v>
      </c>
      <c r="E25" s="26">
        <f>IFERROR((HistoricalFS!E28+HistoricalFS!E22)/HistoricalFS!E22,0)</f>
        <v>6.0799595141700609</v>
      </c>
      <c r="F25" s="26">
        <f>IFERROR((HistoricalFS!F28+HistoricalFS!F22)/HistoricalFS!F22,0)</f>
        <v>6.3184017480880375</v>
      </c>
      <c r="G25" s="26">
        <f>IFERROR((HistoricalFS!G28+HistoricalFS!G22)/HistoricalFS!G22,0)</f>
        <v>6.7091156126482252</v>
      </c>
      <c r="H25" s="26">
        <f>IFERROR((HistoricalFS!H28+HistoricalFS!H22)/HistoricalFS!H22,0)</f>
        <v>7.6388682516097122</v>
      </c>
      <c r="J25" s="26">
        <f>IFERROR(AVERAGE(C25:H25),0)</f>
        <v>6.5318138058948456</v>
      </c>
      <c r="K25" s="26">
        <f>IFERROR(MEDIAN(C25:H25),0)</f>
        <v>6.5137586803681309</v>
      </c>
    </row>
    <row r="26" spans="2:11" x14ac:dyDescent="0.3">
      <c r="B26" s="29"/>
      <c r="C26" s="29"/>
      <c r="D26" s="29"/>
      <c r="E26" s="29"/>
      <c r="F26" s="29"/>
      <c r="G26" s="29"/>
      <c r="H26" s="29"/>
      <c r="I26" s="29"/>
      <c r="J26" s="33"/>
      <c r="K26" s="30"/>
    </row>
    <row r="27" spans="2:11" x14ac:dyDescent="0.3">
      <c r="B27" s="29" t="s">
        <v>105</v>
      </c>
      <c r="C27" s="31">
        <f>IFERROR(HistoricalFS!C6/HistoricalFS!C63,0)</f>
        <v>8.5419319770150643</v>
      </c>
      <c r="D27" s="31">
        <f>IFERROR(HistoricalFS!D6/HistoricalFS!D63,0)</f>
        <v>5.9208583549115756</v>
      </c>
      <c r="E27" s="31">
        <f>IFERROR(HistoricalFS!E6/HistoricalFS!E63,0)</f>
        <v>7.8866664209090578</v>
      </c>
      <c r="F27" s="31">
        <f>IFERROR(HistoricalFS!F6/HistoricalFS!F63,0)</f>
        <v>7.1071788743478388</v>
      </c>
      <c r="G27" s="31">
        <f>IFERROR(HistoricalFS!G6/HistoricalFS!G63,0)</f>
        <v>7.6323623310956563</v>
      </c>
      <c r="H27" s="31">
        <f>IFERROR(HistoricalFS!H6/HistoricalFS!H63,0)</f>
        <v>5.5789791040062022</v>
      </c>
      <c r="I27" s="29"/>
      <c r="J27" s="31">
        <f>IFERROR(AVERAGE(C27:H27),0)</f>
        <v>7.1113295103808989</v>
      </c>
      <c r="K27" s="31">
        <f>IFERROR(MEDIAN(C27:H27),0)</f>
        <v>7.3697706027217471</v>
      </c>
    </row>
    <row r="28" spans="2:11" x14ac:dyDescent="0.3">
      <c r="B28" t="s">
        <v>109</v>
      </c>
      <c r="C28" s="26">
        <f>IFERROR(HistoricalFS!C6/HistoricalFS!C54, 0)</f>
        <v>4.1162625355485707</v>
      </c>
      <c r="D28" s="26">
        <f>IFERROR(HistoricalFS!D6/HistoricalFS!D54, 0)</f>
        <v>3.5550023982401879</v>
      </c>
      <c r="E28" s="26">
        <f>IFERROR(HistoricalFS!E6/HistoricalFS!E54, 0)</f>
        <v>4.0930250354889441</v>
      </c>
      <c r="F28" s="26">
        <f>IFERROR(HistoricalFS!F6/HistoricalFS!F54, 0)</f>
        <v>4.1449261073695451</v>
      </c>
      <c r="G28" s="26">
        <f>IFERROR(HistoricalFS!G6/HistoricalFS!G54, 0)</f>
        <v>3.6812327028320539</v>
      </c>
      <c r="H28" s="26">
        <f>IFERROR(HistoricalFS!H6/HistoricalFS!H54, 0)</f>
        <v>2.9717303976036566</v>
      </c>
      <c r="J28" s="26">
        <f>IFERROR(AVERAGE(C28:H28),0)</f>
        <v>3.7603631961804935</v>
      </c>
      <c r="K28" s="26">
        <f>IFERROR(MEDIAN(C28:H28),0)</f>
        <v>3.8871288691604988</v>
      </c>
    </row>
    <row r="29" spans="2:11" x14ac:dyDescent="0.3">
      <c r="B29" t="s">
        <v>106</v>
      </c>
      <c r="C29" s="26">
        <f>IFERROR(HistoricalFS!C6/HistoricalFS!C64,0)</f>
        <v>8.8384219829664143</v>
      </c>
      <c r="D29" s="26">
        <f>IFERROR(HistoricalFS!D6/HistoricalFS!D64,0)</f>
        <v>8.67564076690212</v>
      </c>
      <c r="E29" s="26">
        <f>IFERROR(HistoricalFS!E6/HistoricalFS!E64,0)</f>
        <v>9.2560115601934765</v>
      </c>
      <c r="F29" s="26">
        <f>IFERROR(HistoricalFS!F6/HistoricalFS!F64,0)</f>
        <v>12.728251224070073</v>
      </c>
      <c r="G29" s="26">
        <f>IFERROR(HistoricalFS!G6/HistoricalFS!G64,0)</f>
        <v>10.437047569040892</v>
      </c>
      <c r="H29" s="26">
        <f>IFERROR(HistoricalFS!H6/HistoricalFS!H64,0)</f>
        <v>9.7335186855024549</v>
      </c>
      <c r="J29" s="26">
        <f>IFERROR(AVERAGE(C29:H29),0)</f>
        <v>9.9448152981125713</v>
      </c>
      <c r="K29" s="26">
        <f>IFERROR(MEDIAN(C29:H29),0)</f>
        <v>9.4947651228479657</v>
      </c>
    </row>
    <row r="30" spans="2:11" x14ac:dyDescent="0.3">
      <c r="B30" t="s">
        <v>107</v>
      </c>
      <c r="C30" s="26">
        <f>IFERROR(HistoricalFS!C6/HistoricalFS!C57,0)</f>
        <v>10.626255795981454</v>
      </c>
      <c r="D30" s="26">
        <f>IFERROR(HistoricalFS!D6/HistoricalFS!D57,0)</f>
        <v>11.719044763099067</v>
      </c>
      <c r="E30" s="26">
        <f>IFERROR(HistoricalFS!E6/HistoricalFS!E57,0)</f>
        <v>10.662002013375993</v>
      </c>
      <c r="F30" s="26">
        <f>IFERROR(HistoricalFS!F6/HistoricalFS!F57,0)</f>
        <v>9.8034881476954734</v>
      </c>
      <c r="G30" s="26">
        <f>IFERROR(HistoricalFS!G6/HistoricalFS!G57,0)</f>
        <v>8.8620663744520982</v>
      </c>
      <c r="H30" s="26">
        <f>IFERROR(HistoricalFS!H6/HistoricalFS!H57,0)</f>
        <v>14.009899919243193</v>
      </c>
      <c r="J30" s="26">
        <f>IFERROR(AVERAGE(C30:H30),0)</f>
        <v>10.947126168974547</v>
      </c>
      <c r="K30" s="26">
        <f>IFERROR(MEDIAN(C30:H30),0)</f>
        <v>10.644128904678723</v>
      </c>
    </row>
    <row r="31" spans="2:11" x14ac:dyDescent="0.3">
      <c r="B31" t="s">
        <v>111</v>
      </c>
      <c r="C31" s="26">
        <f>IFERROR(HistoricalFS!C6/SUM(HistoricalFS!C51:C52),0)</f>
        <v>8.1283505440304431</v>
      </c>
      <c r="D31" s="26">
        <f>IFERROR(HistoricalFS!D6/SUM(HistoricalFS!D51:D52),0)</f>
        <v>8.7456530584565293</v>
      </c>
      <c r="E31" s="26">
        <f>IFERROR(HistoricalFS!E6/SUM(HistoricalFS!E51:E52),0)</f>
        <v>10.731635867493329</v>
      </c>
      <c r="F31" s="26">
        <f>IFERROR(HistoricalFS!F6/SUM(HistoricalFS!F51:F52),0)</f>
        <v>9.4886100972052514</v>
      </c>
      <c r="G31" s="26">
        <f>IFERROR(HistoricalFS!G6/SUM(HistoricalFS!G51:G52),0)</f>
        <v>10.438032864265274</v>
      </c>
      <c r="H31" s="26">
        <f>IFERROR(HistoricalFS!H6/SUM(HistoricalFS!H51:H52),0)</f>
        <v>12.90947445352468</v>
      </c>
      <c r="J31" s="26">
        <f>IFERROR(AVERAGE(C31:H31),0)</f>
        <v>10.073626147495919</v>
      </c>
      <c r="K31" s="26">
        <f>IFERROR(MEDIAN(C31:H31),0)</f>
        <v>9.9633214807352637</v>
      </c>
    </row>
    <row r="32" spans="2:11" x14ac:dyDescent="0.3">
      <c r="B32" s="29"/>
      <c r="C32" s="31"/>
      <c r="D32" s="31"/>
      <c r="E32" s="31"/>
      <c r="F32" s="31"/>
      <c r="G32" s="31"/>
      <c r="H32" s="31"/>
      <c r="I32" s="29"/>
      <c r="J32" s="33"/>
      <c r="K32" s="30"/>
    </row>
    <row r="33" spans="2:11" x14ac:dyDescent="0.3">
      <c r="B33" s="27" t="s">
        <v>119</v>
      </c>
      <c r="J33" s="25"/>
      <c r="K33" s="13"/>
    </row>
    <row r="34" spans="2:11" x14ac:dyDescent="0.3">
      <c r="B34" s="29" t="s">
        <v>108</v>
      </c>
      <c r="C34" s="32">
        <f t="shared" ref="C34:H34" si="2">IFERROR(365/C27,0)</f>
        <v>42.730380080543256</v>
      </c>
      <c r="D34" s="32">
        <f t="shared" si="2"/>
        <v>61.646467137187756</v>
      </c>
      <c r="E34" s="32">
        <f t="shared" si="2"/>
        <v>46.280643876646707</v>
      </c>
      <c r="F34" s="32">
        <f t="shared" si="2"/>
        <v>51.356523657706973</v>
      </c>
      <c r="G34" s="32">
        <f t="shared" si="2"/>
        <v>47.822677195620351</v>
      </c>
      <c r="H34" s="32">
        <f t="shared" si="2"/>
        <v>65.424156139587907</v>
      </c>
      <c r="I34" s="29"/>
      <c r="J34" s="32">
        <f>IFERROR(AVERAGE(C34:H34),0)</f>
        <v>52.543474681215486</v>
      </c>
      <c r="K34" s="32">
        <f>IFERROR(MEDIAN(C34:H34),0)</f>
        <v>49.589600426663665</v>
      </c>
    </row>
    <row r="35" spans="2:11" x14ac:dyDescent="0.3">
      <c r="B35" t="s">
        <v>110</v>
      </c>
      <c r="C35" s="28">
        <f t="shared" ref="C35:H35" si="3">IFERROR(365/C28,0)</f>
        <v>88.672672563475544</v>
      </c>
      <c r="D35" s="28">
        <f t="shared" si="3"/>
        <v>102.67222328195442</v>
      </c>
      <c r="E35" s="28">
        <f t="shared" si="3"/>
        <v>89.176097589248656</v>
      </c>
      <c r="F35" s="28">
        <f t="shared" si="3"/>
        <v>88.059470915788282</v>
      </c>
      <c r="G35" s="28">
        <f t="shared" si="3"/>
        <v>99.15156945096065</v>
      </c>
      <c r="H35" s="28">
        <f t="shared" si="3"/>
        <v>122.82406247024583</v>
      </c>
      <c r="J35" s="28">
        <f>IFERROR(AVERAGE(C35:H35),0)</f>
        <v>98.426016045278899</v>
      </c>
      <c r="K35" s="28">
        <f>IFERROR(MEDIAN(C35:H35),0)</f>
        <v>94.163833520104646</v>
      </c>
    </row>
    <row r="36" spans="2:11" x14ac:dyDescent="0.3">
      <c r="B36" t="s">
        <v>112</v>
      </c>
      <c r="C36" s="28">
        <f t="shared" ref="C36:H36" si="4">IFERROR(365/C29,0)</f>
        <v>41.296964628237411</v>
      </c>
      <c r="D36" s="28">
        <f t="shared" si="4"/>
        <v>42.071820376944153</v>
      </c>
      <c r="E36" s="28">
        <f t="shared" si="4"/>
        <v>39.433831475505471</v>
      </c>
      <c r="F36" s="28">
        <f t="shared" si="4"/>
        <v>28.676366735263503</v>
      </c>
      <c r="G36" s="28">
        <f t="shared" si="4"/>
        <v>34.971575781899162</v>
      </c>
      <c r="H36" s="28">
        <f t="shared" si="4"/>
        <v>37.499285899933348</v>
      </c>
      <c r="J36" s="28">
        <f>IFERROR(AVERAGE(C36:H36),0)</f>
        <v>37.324974149630506</v>
      </c>
      <c r="K36" s="28">
        <f>IFERROR(MEDIAN(C36:H36),0)</f>
        <v>38.466558687719413</v>
      </c>
    </row>
    <row r="37" spans="2:11" x14ac:dyDescent="0.3">
      <c r="B37" t="s">
        <v>113</v>
      </c>
      <c r="C37" s="28">
        <f t="shared" ref="C37:H37" si="5">IFERROR(SUM(C34,C36)-C35,0)</f>
        <v>-4.6453278546948695</v>
      </c>
      <c r="D37" s="28">
        <f t="shared" si="5"/>
        <v>1.0460642321774856</v>
      </c>
      <c r="E37" s="28">
        <f t="shared" si="5"/>
        <v>-3.4616222370964778</v>
      </c>
      <c r="F37" s="28">
        <f t="shared" si="5"/>
        <v>-8.0265805228178095</v>
      </c>
      <c r="G37" s="28">
        <f t="shared" si="5"/>
        <v>-16.357316473441145</v>
      </c>
      <c r="H37" s="28">
        <f t="shared" si="5"/>
        <v>-19.900620430724572</v>
      </c>
      <c r="J37" s="28">
        <f>IFERROR(AVERAGE(C37:H37),0)</f>
        <v>-8.5575672144328987</v>
      </c>
      <c r="K37" s="28">
        <f>IFERROR(MEDIAN(C37:H37),0)</f>
        <v>-6.3359541887563395</v>
      </c>
    </row>
    <row r="38" spans="2:11" x14ac:dyDescent="0.3">
      <c r="B38" s="29"/>
      <c r="C38" s="29"/>
      <c r="D38" s="29"/>
      <c r="E38" s="29"/>
      <c r="F38" s="29"/>
      <c r="G38" s="29"/>
      <c r="H38" s="29"/>
      <c r="I38" s="29"/>
      <c r="J38" s="33"/>
      <c r="K38" s="30"/>
    </row>
    <row r="39" spans="2:11" x14ac:dyDescent="0.3">
      <c r="B39" s="29" t="s">
        <v>116</v>
      </c>
      <c r="C39" s="30">
        <f>IFERROR(HistoricalFS!C74/HistoricalFS!C6, 0)</f>
        <v>5.3939438015326857E-2</v>
      </c>
      <c r="D39" s="30">
        <f>IFERROR(HistoricalFS!D74/HistoricalFS!D6, 0)</f>
        <v>2.6381128289111485E-2</v>
      </c>
      <c r="E39" s="30">
        <f>IFERROR(HistoricalFS!E74/HistoricalFS!E6, 0)</f>
        <v>2.5496677597998708E-2</v>
      </c>
      <c r="F39" s="30">
        <f>IFERROR(HistoricalFS!F74/HistoricalFS!F6, 0)</f>
        <v>5.9526690020759498E-2</v>
      </c>
      <c r="G39" s="30">
        <f>IFERROR(HistoricalFS!G74/HistoricalFS!G6, 0)</f>
        <v>3.3028845338563886E-2</v>
      </c>
      <c r="H39" s="30">
        <f>IFERROR(HistoricalFS!H74/HistoricalFS!H6, 0)</f>
        <v>2.958690276144426E-2</v>
      </c>
      <c r="I39" s="29"/>
      <c r="J39" s="33">
        <f>IFERROR(AVERAGE(C39:H39),0)</f>
        <v>3.7993280337200785E-2</v>
      </c>
      <c r="K39" s="30">
        <f>IFERROR(MEDIAN(C39:H39),0)</f>
        <v>3.130787405000407E-2</v>
      </c>
    </row>
    <row r="40" spans="2:11" x14ac:dyDescent="0.3">
      <c r="B40" t="s">
        <v>117</v>
      </c>
      <c r="C40" s="13">
        <f>IFERROR(HistoricalFS!C74/HistoricalFS!C68, 0)</f>
        <v>0.13986187063926078</v>
      </c>
      <c r="D40" s="13">
        <f>IFERROR(HistoricalFS!D74/HistoricalFS!D68, 0)</f>
        <v>5.977875079946305E-2</v>
      </c>
      <c r="E40" s="13">
        <f>IFERROR(HistoricalFS!E74/HistoricalFS!E68, 0)</f>
        <v>6.3766462403879204E-2</v>
      </c>
      <c r="F40" s="13">
        <f>IFERROR(HistoricalFS!F74/HistoricalFS!F68, 0)</f>
        <v>0.15509367593916351</v>
      </c>
      <c r="G40" s="13">
        <f>IFERROR(HistoricalFS!G74/HistoricalFS!G68, 0)</f>
        <v>8.3597895709725825E-2</v>
      </c>
      <c r="H40" s="13">
        <f>IFERROR(HistoricalFS!H74/HistoricalFS!H68, 0)</f>
        <v>6.8610046098074029E-2</v>
      </c>
      <c r="J40" s="25">
        <f>IFERROR(AVERAGE(C40:H40),0)</f>
        <v>9.5118116931594401E-2</v>
      </c>
      <c r="K40" s="13">
        <f>IFERROR(MEDIAN(C40:H40),0)</f>
        <v>7.610397090389992E-2</v>
      </c>
    </row>
    <row r="41" spans="2:11" x14ac:dyDescent="0.3">
      <c r="B41" t="s">
        <v>118</v>
      </c>
      <c r="C41" s="13">
        <f>IFERROR(HistoricalFS!C74/HistoricalFS!C53,0)</f>
        <v>2.7384331371870312</v>
      </c>
      <c r="D41" s="13">
        <f>IFERROR(HistoricalFS!D74/HistoricalFS!D53,0)</f>
        <v>0.57756425491460983</v>
      </c>
      <c r="E41" s="13">
        <f>IFERROR(HistoricalFS!E74/HistoricalFS!E53,0)</f>
        <v>0.40896686159844059</v>
      </c>
      <c r="F41" s="13">
        <f>IFERROR(HistoricalFS!F74/HistoricalFS!F53,0)</f>
        <v>1.6017788960250723</v>
      </c>
      <c r="G41" s="13">
        <f>IFERROR(HistoricalFS!G74/HistoricalFS!G53,0)</f>
        <v>1.1949568489508773</v>
      </c>
      <c r="H41" s="13">
        <f>IFERROR(HistoricalFS!H74/HistoricalFS!H53,0)</f>
        <v>1.713589483724812</v>
      </c>
      <c r="J41" s="25">
        <f>IFERROR(AVERAGE(C41:H41),0)</f>
        <v>1.3725482470668071</v>
      </c>
      <c r="K41" s="13">
        <f>IFERROR(MEDIAN(C41:H41),0)</f>
        <v>1.3983678724879747</v>
      </c>
    </row>
    <row r="42" spans="2:11" x14ac:dyDescent="0.3">
      <c r="B42" s="29"/>
      <c r="C42" s="29"/>
      <c r="D42" s="29"/>
      <c r="E42" s="29"/>
      <c r="F42" s="29"/>
      <c r="G42" s="29"/>
      <c r="H42" s="29"/>
      <c r="I42" s="29"/>
      <c r="J42" s="29"/>
      <c r="K42" s="29"/>
    </row>
  </sheetData>
  <mergeCells count="1">
    <mergeCell ref="B2:K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64528EB-41EA-476A-A668-18E3BBF46647}">
          <x14:colorSeries rgb="FF376092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Analysis'!C11:H11</xm:f>
              <xm:sqref>I11</xm:sqref>
            </x14:sparkline>
            <x14:sparkline>
              <xm:f>'Ratio Analysis'!C12:H12</xm:f>
              <xm:sqref>I12</xm:sqref>
            </x14:sparkline>
            <x14:sparkline>
              <xm:f>'Ratio Analysis'!C13:H13</xm:f>
              <xm:sqref>I13</xm:sqref>
            </x14:sparkline>
            <x14:sparkline>
              <xm:f>'Ratio Analysis'!C14:H14</xm:f>
              <xm:sqref>I14</xm:sqref>
            </x14:sparkline>
            <x14:sparkline>
              <xm:f>'Ratio Analysis'!C15:H15</xm:f>
              <xm:sqref>I15</xm:sqref>
            </x14:sparkline>
            <x14:sparkline>
              <xm:f>'Ratio Analysis'!C16:H16</xm:f>
              <xm:sqref>I16</xm:sqref>
            </x14:sparkline>
            <x14:sparkline>
              <xm:f>'Ratio Analysis'!C17:H17</xm:f>
              <xm:sqref>I17</xm:sqref>
            </x14:sparkline>
            <x14:sparkline>
              <xm:f>'Ratio Analysis'!C18:H18</xm:f>
              <xm:sqref>I18</xm:sqref>
            </x14:sparkline>
            <x14:sparkline>
              <xm:f>'Ratio Analysis'!C19:H19</xm:f>
              <xm:sqref>I19</xm:sqref>
            </x14:sparkline>
            <x14:sparkline>
              <xm:f>'Ratio Analysis'!C20:H20</xm:f>
              <xm:sqref>I20</xm:sqref>
            </x14:sparkline>
            <x14:sparkline>
              <xm:f>'Ratio Analysis'!C21:H21</xm:f>
              <xm:sqref>I21</xm:sqref>
            </x14:sparkline>
            <x14:sparkline>
              <xm:f>'Ratio Analysis'!C22:H22</xm:f>
              <xm:sqref>I22</xm:sqref>
            </x14:sparkline>
            <x14:sparkline>
              <xm:f>'Ratio Analysis'!C23:H23</xm:f>
              <xm:sqref>I23</xm:sqref>
            </x14:sparkline>
            <x14:sparkline>
              <xm:f>'Ratio Analysis'!C24:H24</xm:f>
              <xm:sqref>I24</xm:sqref>
            </x14:sparkline>
            <x14:sparkline>
              <xm:f>'Ratio Analysis'!C25:H25</xm:f>
              <xm:sqref>I25</xm:sqref>
            </x14:sparkline>
            <x14:sparkline>
              <xm:f>'Ratio Analysis'!C26:H26</xm:f>
              <xm:sqref>I26</xm:sqref>
            </x14:sparkline>
            <x14:sparkline>
              <xm:f>'Ratio Analysis'!C27:H27</xm:f>
              <xm:sqref>I27</xm:sqref>
            </x14:sparkline>
            <x14:sparkline>
              <xm:f>'Ratio Analysis'!C28:H28</xm:f>
              <xm:sqref>I28</xm:sqref>
            </x14:sparkline>
            <x14:sparkline>
              <xm:f>'Ratio Analysis'!C29:H29</xm:f>
              <xm:sqref>I29</xm:sqref>
            </x14:sparkline>
            <x14:sparkline>
              <xm:f>'Ratio Analysis'!C30:H30</xm:f>
              <xm:sqref>I30</xm:sqref>
            </x14:sparkline>
            <x14:sparkline>
              <xm:f>'Ratio Analysis'!C31:H31</xm:f>
              <xm:sqref>I31</xm:sqref>
            </x14:sparkline>
            <x14:sparkline>
              <xm:f>'Ratio Analysis'!C32:H32</xm:f>
              <xm:sqref>I32</xm:sqref>
            </x14:sparkline>
            <x14:sparkline>
              <xm:f>'Ratio Analysis'!C33:H33</xm:f>
              <xm:sqref>I33</xm:sqref>
            </x14:sparkline>
            <x14:sparkline>
              <xm:f>'Ratio Analysis'!C34:H34</xm:f>
              <xm:sqref>I34</xm:sqref>
            </x14:sparkline>
            <x14:sparkline>
              <xm:f>'Ratio Analysis'!C35:H35</xm:f>
              <xm:sqref>I35</xm:sqref>
            </x14:sparkline>
            <x14:sparkline>
              <xm:f>'Ratio Analysis'!C36:H36</xm:f>
              <xm:sqref>I36</xm:sqref>
            </x14:sparkline>
            <x14:sparkline>
              <xm:f>'Ratio Analysis'!C37:H37</xm:f>
              <xm:sqref>I37</xm:sqref>
            </x14:sparkline>
            <x14:sparkline>
              <xm:f>'Ratio Analysis'!C38:H38</xm:f>
              <xm:sqref>I38</xm:sqref>
            </x14:sparkline>
            <x14:sparkline>
              <xm:f>'Ratio Analysis'!C39:H39</xm:f>
              <xm:sqref>I39</xm:sqref>
            </x14:sparkline>
            <x14:sparkline>
              <xm:f>'Ratio Analysis'!C40:H40</xm:f>
              <xm:sqref>I40</xm:sqref>
            </x14:sparkline>
            <x14:sparkline>
              <xm:f>'Ratio Analysis'!C41:H41</xm:f>
              <xm:sqref>I41</xm:sqref>
            </x14:sparkline>
          </x14:sparklines>
        </x14:sparklineGroup>
        <x14:sparklineGroup displayEmptyCellsAs="gap" markers="1" xr2:uid="{23C69F29-C6FD-4BDB-B945-A2F7A3B1F6E3}">
          <x14:colorSeries rgb="FF0070C0"/>
          <x14:colorNegative rgb="FF000000"/>
          <x14:colorAxis rgb="FF000000"/>
          <x14:colorMarkers theme="4" tint="-0.499984740745262"/>
          <x14:colorFirst rgb="FF000000"/>
          <x14:colorLast rgb="FF000000"/>
          <x14:colorHigh rgb="FF000000"/>
          <x14:colorLow rgb="FF000000"/>
          <x14:sparklines>
            <x14:sparkline>
              <xm:f>'Ratio Analysis'!C5:H5</xm:f>
              <xm:sqref>I5</xm:sqref>
            </x14:sparkline>
            <x14:sparkline>
              <xm:f>'Ratio Analysis'!C6:H6</xm:f>
              <xm:sqref>I6</xm:sqref>
            </x14:sparkline>
            <x14:sparkline>
              <xm:f>'Ratio Analysis'!C7:H7</xm:f>
              <xm:sqref>I7</xm:sqref>
            </x14:sparkline>
            <x14:sparkline>
              <xm:f>'Ratio Analysis'!C8:H8</xm:f>
              <xm:sqref>I8</xm:sqref>
            </x14:sparkline>
            <x14:sparkline>
              <xm:f>'Ratio Analysis'!C9:H9</xm:f>
              <xm:sqref>I9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68F4-35F9-440F-B28A-35F728E0E20C}">
  <dimension ref="A1:H42"/>
  <sheetViews>
    <sheetView showGridLines="0" zoomScale="70" zoomScaleNormal="70" workbookViewId="0">
      <selection activeCell="M18" sqref="M18"/>
    </sheetView>
  </sheetViews>
  <sheetFormatPr defaultRowHeight="14.4" x14ac:dyDescent="0.3"/>
  <cols>
    <col min="1" max="1" width="1.88671875" customWidth="1"/>
    <col min="2" max="2" width="22" bestFit="1" customWidth="1"/>
  </cols>
  <sheetData>
    <row r="1" spans="1:8" x14ac:dyDescent="0.3">
      <c r="B1" s="34"/>
    </row>
    <row r="2" spans="1:8" x14ac:dyDescent="0.3">
      <c r="A2" t="s">
        <v>58</v>
      </c>
      <c r="B2" s="101" t="str">
        <f>"Common Size Income Statement - "&amp;'Data Sheet'!$B$1</f>
        <v>Common Size Income Statement - DIXON TECHNOLOGIES (INDIA) LTD</v>
      </c>
      <c r="C2" s="101"/>
      <c r="D2" s="101"/>
      <c r="E2" s="101"/>
      <c r="F2" s="101"/>
      <c r="G2" s="101"/>
      <c r="H2" s="101"/>
    </row>
    <row r="4" spans="1:8" x14ac:dyDescent="0.3">
      <c r="B4" s="44" t="s">
        <v>124</v>
      </c>
      <c r="C4" s="45">
        <f>'Data Sheet'!F$56</f>
        <v>43921</v>
      </c>
      <c r="D4" s="45">
        <f>'Data Sheet'!G$56</f>
        <v>44286</v>
      </c>
      <c r="E4" s="45">
        <f>'Data Sheet'!H$56</f>
        <v>44651</v>
      </c>
      <c r="F4" s="45">
        <f>'Data Sheet'!I$56</f>
        <v>45016</v>
      </c>
      <c r="G4" s="45">
        <f>'Data Sheet'!J$56</f>
        <v>45382</v>
      </c>
      <c r="H4" s="45">
        <f>'Data Sheet'!K$56</f>
        <v>45747</v>
      </c>
    </row>
    <row r="6" spans="1:8" x14ac:dyDescent="0.3">
      <c r="B6" s="38" t="str">
        <f>'Data Sheet'!A17</f>
        <v>Sales</v>
      </c>
      <c r="C6" s="40">
        <f>'Data Sheet'!F17/'Data Sheet'!F$17</f>
        <v>1</v>
      </c>
      <c r="D6" s="40">
        <f>'Data Sheet'!G17/'Data Sheet'!G$17</f>
        <v>1</v>
      </c>
      <c r="E6" s="40">
        <f>'Data Sheet'!H17/'Data Sheet'!H$17</f>
        <v>1</v>
      </c>
      <c r="F6" s="40">
        <f>'Data Sheet'!I17/'Data Sheet'!I$17</f>
        <v>1</v>
      </c>
      <c r="G6" s="40">
        <f>'Data Sheet'!J17/'Data Sheet'!J$17</f>
        <v>1</v>
      </c>
      <c r="H6" s="40">
        <f>'Data Sheet'!K17/'Data Sheet'!K$17</f>
        <v>1</v>
      </c>
    </row>
    <row r="7" spans="1:8" x14ac:dyDescent="0.3">
      <c r="B7" s="37" t="str">
        <f>'Data Sheet'!A18</f>
        <v>Raw Material Cost</v>
      </c>
      <c r="C7" s="39">
        <f>'Data Sheet'!F18/'Data Sheet'!F$17</f>
        <v>0.88937119896730099</v>
      </c>
      <c r="D7" s="39">
        <f>'Data Sheet'!G18/'Data Sheet'!G$17</f>
        <v>0.89225470172157373</v>
      </c>
      <c r="E7" s="39">
        <f>'Data Sheet'!H18/'Data Sheet'!H$17</f>
        <v>0.92451958852322313</v>
      </c>
      <c r="F7" s="39">
        <f>'Data Sheet'!I18/'Data Sheet'!I$17</f>
        <v>0.90347448862000601</v>
      </c>
      <c r="G7" s="39">
        <f>'Data Sheet'!J18/'Data Sheet'!J$17</f>
        <v>0.91247025306796148</v>
      </c>
      <c r="H7" s="39">
        <f>'Data Sheet'!K18/'Data Sheet'!K$17</f>
        <v>0.92896853070372953</v>
      </c>
    </row>
    <row r="8" spans="1:8" x14ac:dyDescent="0.3">
      <c r="B8" s="37" t="str">
        <f>'Data Sheet'!A19</f>
        <v>Change in Inventory</v>
      </c>
      <c r="C8" s="39">
        <f>'Data Sheet'!F19/'Data Sheet'!F$17</f>
        <v>1.2076943356090289E-2</v>
      </c>
      <c r="D8" s="39">
        <f>'Data Sheet'!G19/'Data Sheet'!G$17</f>
        <v>-2.5293998142108536E-3</v>
      </c>
      <c r="E8" s="39">
        <f>'Data Sheet'!H19/'Data Sheet'!H$17</f>
        <v>1.0322443134014142E-2</v>
      </c>
      <c r="F8" s="39">
        <f>'Data Sheet'!I19/'Data Sheet'!I$17</f>
        <v>-4.5685658066225342E-4</v>
      </c>
      <c r="G8" s="39">
        <f>'Data Sheet'!J19/'Data Sheet'!J$17</f>
        <v>5.8487697064592524E-3</v>
      </c>
      <c r="H8" s="39">
        <f>'Data Sheet'!K19/'Data Sheet'!K$17</f>
        <v>6.8705433079173763E-3</v>
      </c>
    </row>
    <row r="9" spans="1:8" x14ac:dyDescent="0.3">
      <c r="B9" s="37" t="str">
        <f>'Data Sheet'!A20</f>
        <v>Power and Fuel</v>
      </c>
      <c r="C9" s="39">
        <f>'Data Sheet'!F20/'Data Sheet'!F$17</f>
        <v>5.0453169459014754E-3</v>
      </c>
      <c r="D9" s="39">
        <f>'Data Sheet'!G20/'Data Sheet'!G$17</f>
        <v>4.0926340341523254E-3</v>
      </c>
      <c r="E9" s="39">
        <f>'Data Sheet'!H20/'Data Sheet'!H$17</f>
        <v>3.7776664285954667E-3</v>
      </c>
      <c r="F9" s="39">
        <f>'Data Sheet'!I20/'Data Sheet'!I$17</f>
        <v>3.8820506216776397E-3</v>
      </c>
      <c r="G9" s="39">
        <f>'Data Sheet'!J20/'Data Sheet'!J$17</f>
        <v>3.7188611093839207E-3</v>
      </c>
      <c r="H9" s="39">
        <f>'Data Sheet'!K20/'Data Sheet'!K$17</f>
        <v>2.628660245341623E-3</v>
      </c>
    </row>
    <row r="10" spans="1:8" x14ac:dyDescent="0.3">
      <c r="B10" s="37" t="str">
        <f>'Data Sheet'!A21</f>
        <v>Other Mfr. Exp</v>
      </c>
      <c r="C10" s="39">
        <f>'Data Sheet'!F21/'Data Sheet'!F$17</f>
        <v>2.7124260247447796E-2</v>
      </c>
      <c r="D10" s="39">
        <f>'Data Sheet'!G21/'Data Sheet'!G$17</f>
        <v>2.3206584193654942E-2</v>
      </c>
      <c r="E10" s="39">
        <f>'Data Sheet'!H21/'Data Sheet'!H$17</f>
        <v>1.941183949264659E-2</v>
      </c>
      <c r="F10" s="39">
        <f>'Data Sheet'!I21/'Data Sheet'!I$17</f>
        <v>2.020257529316331E-2</v>
      </c>
      <c r="G10" s="39">
        <f>'Data Sheet'!J21/'Data Sheet'!J$17</f>
        <v>2.3578223832591897E-2</v>
      </c>
      <c r="H10" s="39">
        <f>'Data Sheet'!K21/'Data Sheet'!K$17</f>
        <v>1.5787144140133453E-2</v>
      </c>
    </row>
    <row r="11" spans="1:8" x14ac:dyDescent="0.3">
      <c r="B11" s="37" t="str">
        <f>'Data Sheet'!A22</f>
        <v>Employee Cost</v>
      </c>
      <c r="C11" s="39">
        <f>'Data Sheet'!F22/'Data Sheet'!F$17</f>
        <v>2.6808359772006216E-2</v>
      </c>
      <c r="D11" s="39">
        <f>'Data Sheet'!G22/'Data Sheet'!G$17</f>
        <v>2.1277354660314475E-2</v>
      </c>
      <c r="E11" s="39">
        <f>'Data Sheet'!H22/'Data Sheet'!H$17</f>
        <v>1.8516267990890973E-2</v>
      </c>
      <c r="F11" s="39">
        <f>'Data Sheet'!I22/'Data Sheet'!I$17</f>
        <v>2.0664353129631618E-2</v>
      </c>
      <c r="G11" s="39">
        <f>'Data Sheet'!J22/'Data Sheet'!J$17</f>
        <v>1.8815323132231825E-2</v>
      </c>
      <c r="H11" s="39">
        <f>'Data Sheet'!K22/'Data Sheet'!K$17</f>
        <v>1.4612674697182974E-2</v>
      </c>
    </row>
    <row r="12" spans="1:8" x14ac:dyDescent="0.3">
      <c r="B12" s="37" t="str">
        <f>'Data Sheet'!A23</f>
        <v>Selling and admin</v>
      </c>
      <c r="C12" s="39">
        <f>'Data Sheet'!F23/'Data Sheet'!F$17</f>
        <v>5.222584838595311E-3</v>
      </c>
      <c r="D12" s="39">
        <f>'Data Sheet'!G23/'Data Sheet'!G$17</f>
        <v>5.7210030132580254E-3</v>
      </c>
      <c r="E12" s="39">
        <f>'Data Sheet'!H23/'Data Sheet'!H$17</f>
        <v>4.2600410579335668E-3</v>
      </c>
      <c r="F12" s="39">
        <f>'Data Sheet'!I23/'Data Sheet'!I$17</f>
        <v>4.1272932026794598E-3</v>
      </c>
      <c r="G12" s="39">
        <f>'Data Sheet'!J23/'Data Sheet'!J$17</f>
        <v>3.0948114567376445E-3</v>
      </c>
      <c r="H12" s="39">
        <f>'Data Sheet'!K23/'Data Sheet'!K$17</f>
        <v>1.8116268357518382E-3</v>
      </c>
    </row>
    <row r="13" spans="1:8" x14ac:dyDescent="0.3">
      <c r="B13" s="37" t="str">
        <f>'Data Sheet'!A24</f>
        <v>Other Expenses</v>
      </c>
      <c r="C13" s="39">
        <f>'Data Sheet'!F24/'Data Sheet'!F$17</f>
        <v>6.7270892612019675E-3</v>
      </c>
      <c r="D13" s="39">
        <f>'Data Sheet'!G24/'Data Sheet'!G$17</f>
        <v>5.6031401157227555E-3</v>
      </c>
      <c r="E13" s="39">
        <f>'Data Sheet'!H24/'Data Sheet'!H$17</f>
        <v>3.9113477696717238E-3</v>
      </c>
      <c r="F13" s="39">
        <f>'Data Sheet'!I24/'Data Sheet'!I$17</f>
        <v>4.5866104112447419E-3</v>
      </c>
      <c r="G13" s="39">
        <f>'Data Sheet'!J24/'Data Sheet'!J$17</f>
        <v>4.3174739555364612E-3</v>
      </c>
      <c r="H13" s="39">
        <f>'Data Sheet'!K24/'Data Sheet'!K$17</f>
        <v>4.079763047444551E-3</v>
      </c>
    </row>
    <row r="14" spans="1:8" x14ac:dyDescent="0.3">
      <c r="B14" s="37" t="str">
        <f>'Data Sheet'!A25</f>
        <v>Other Income</v>
      </c>
      <c r="C14" s="39">
        <f>'Data Sheet'!F25/'Data Sheet'!F$17</f>
        <v>1.1136059925638392E-3</v>
      </c>
      <c r="D14" s="39">
        <f>'Data Sheet'!G25/'Data Sheet'!G$17</f>
        <v>1.9385344989353569E-4</v>
      </c>
      <c r="E14" s="39">
        <f>'Data Sheet'!H25/'Data Sheet'!H$17</f>
        <v>3.5149779192078582E-4</v>
      </c>
      <c r="F14" s="39">
        <f>'Data Sheet'!I25/'Data Sheet'!I$17</f>
        <v>3.3054434830680093E-4</v>
      </c>
      <c r="G14" s="39">
        <f>'Data Sheet'!J25/'Data Sheet'!J$17</f>
        <v>1.7873596029597137E-3</v>
      </c>
      <c r="H14" s="39">
        <f>'Data Sheet'!K25/'Data Sheet'!K$17</f>
        <v>1.2802077194860539E-2</v>
      </c>
    </row>
    <row r="15" spans="1:8" x14ac:dyDescent="0.3">
      <c r="B15" s="37" t="str">
        <f>'Data Sheet'!A26</f>
        <v>Depreciation</v>
      </c>
      <c r="C15" s="39">
        <f>'Data Sheet'!F26/'Data Sheet'!F$17</f>
        <v>8.3020463078279684E-3</v>
      </c>
      <c r="D15" s="39">
        <f>'Data Sheet'!G26/'Data Sheet'!G$17</f>
        <v>6.7802182634763035E-3</v>
      </c>
      <c r="E15" s="39">
        <f>'Data Sheet'!H26/'Data Sheet'!H$17</f>
        <v>7.8479360722739297E-3</v>
      </c>
      <c r="F15" s="39">
        <f>'Data Sheet'!I26/'Data Sheet'!I$17</f>
        <v>9.4020592174711131E-3</v>
      </c>
      <c r="G15" s="39">
        <f>'Data Sheet'!J26/'Data Sheet'!J$17</f>
        <v>9.1504671893459337E-3</v>
      </c>
      <c r="H15" s="39">
        <f>'Data Sheet'!K26/'Data Sheet'!K$17</f>
        <v>7.2315820082809873E-3</v>
      </c>
    </row>
    <row r="16" spans="1:8" x14ac:dyDescent="0.3">
      <c r="B16" s="37" t="str">
        <f>'Data Sheet'!A27</f>
        <v>Interest</v>
      </c>
      <c r="C16" s="39">
        <f>'Data Sheet'!F27/'Data Sheet'!F$17</f>
        <v>8.9633919074934322E-3</v>
      </c>
      <c r="D16" s="39">
        <f>'Data Sheet'!G27/'Data Sheet'!G$17</f>
        <v>5.0743079044131903E-3</v>
      </c>
      <c r="E16" s="39">
        <f>'Data Sheet'!H27/'Data Sheet'!H$17</f>
        <v>4.6180826917252187E-3</v>
      </c>
      <c r="F16" s="39">
        <f>'Data Sheet'!I27/'Data Sheet'!I$17</f>
        <v>5.2550809915674276E-3</v>
      </c>
      <c r="G16" s="39">
        <f>'Data Sheet'!J27/'Data Sheet'!J$17</f>
        <v>4.5763641194060218E-3</v>
      </c>
      <c r="H16" s="39">
        <f>'Data Sheet'!K27/'Data Sheet'!K$17</f>
        <v>4.1564483879351832E-3</v>
      </c>
    </row>
    <row r="17" spans="1:8" x14ac:dyDescent="0.3">
      <c r="B17" s="37" t="str">
        <f>'Data Sheet'!A28</f>
        <v>Profit before tax</v>
      </c>
      <c r="C17" s="39">
        <f>'Data Sheet'!F28/'Data Sheet'!F$17</f>
        <v>3.5626301100879068E-2</v>
      </c>
      <c r="D17" s="39">
        <f>'Data Sheet'!G28/'Data Sheet'!G$17</f>
        <v>3.365450972911694E-2</v>
      </c>
      <c r="E17" s="39">
        <f>'Data Sheet'!H28/'Data Sheet'!H$17</f>
        <v>2.3811170898974301E-2</v>
      </c>
      <c r="F17" s="39">
        <f>'Data Sheet'!I28/'Data Sheet'!I$17</f>
        <v>2.827917628020318E-2</v>
      </c>
      <c r="G17" s="39">
        <f>'Data Sheet'!J28/'Data Sheet'!J$17</f>
        <v>2.7914351446223763E-2</v>
      </c>
      <c r="H17" s="39">
        <f>'Data Sheet'!K28/'Data Sheet'!K$17</f>
        <v>4.0396190436977772E-2</v>
      </c>
    </row>
    <row r="18" spans="1:8" x14ac:dyDescent="0.3">
      <c r="B18" s="37" t="str">
        <f>'Data Sheet'!A29</f>
        <v>Tax</v>
      </c>
      <c r="C18" s="39">
        <f>'Data Sheet'!F29/'Data Sheet'!F$17</f>
        <v>8.2429570102633565E-3</v>
      </c>
      <c r="D18" s="39">
        <f>'Data Sheet'!G29/'Data Sheet'!G$17</f>
        <v>8.872284694727341E-3</v>
      </c>
      <c r="E18" s="39">
        <f>'Data Sheet'!H29/'Data Sheet'!H$17</f>
        <v>6.0184648520904766E-3</v>
      </c>
      <c r="F18" s="39">
        <f>'Data Sheet'!I29/'Data Sheet'!I$17</f>
        <v>7.357277430054601E-3</v>
      </c>
      <c r="G18" s="39">
        <f>'Data Sheet'!J29/'Data Sheet'!J$17</f>
        <v>6.7215348003775944E-3</v>
      </c>
      <c r="H18" s="39">
        <f>'Data Sheet'!K29/'Data Sheet'!K$17</f>
        <v>8.6777954765942453E-3</v>
      </c>
    </row>
    <row r="19" spans="1:8" x14ac:dyDescent="0.3">
      <c r="B19" s="37" t="str">
        <f>'Data Sheet'!A30</f>
        <v>Net profit</v>
      </c>
      <c r="C19" s="39">
        <f>'Data Sheet'!F30/'Data Sheet'!F$17</f>
        <v>2.7385616755906658E-2</v>
      </c>
      <c r="D19" s="39">
        <f>'Data Sheet'!G30/'Data Sheet'!G$17</f>
        <v>2.4782225034389604E-2</v>
      </c>
      <c r="E19" s="39">
        <f>'Data Sheet'!H30/'Data Sheet'!H$17</f>
        <v>1.777774869403613E-2</v>
      </c>
      <c r="F19" s="39">
        <f>'Data Sheet'!I30/'Data Sheet'!I$17</f>
        <v>2.0957988059392998E-2</v>
      </c>
      <c r="G19" s="39">
        <f>'Data Sheet'!J30/'Data Sheet'!J$17</f>
        <v>2.0787523529046004E-2</v>
      </c>
      <c r="H19" s="39">
        <f>'Data Sheet'!K30/'Data Sheet'!K$17</f>
        <v>2.8191898631243873E-2</v>
      </c>
    </row>
    <row r="20" spans="1:8" x14ac:dyDescent="0.3">
      <c r="B20" s="37" t="str">
        <f>'Data Sheet'!A31</f>
        <v>Dividend Amount</v>
      </c>
      <c r="C20" s="39">
        <f>'Data Sheet'!F31/'Data Sheet'!F$17</f>
        <v>1.0522440297082807E-3</v>
      </c>
      <c r="D20" s="39">
        <f>'Data Sheet'!G31/'Data Sheet'!G$17</f>
        <v>9.0878497310089537E-4</v>
      </c>
      <c r="E20" s="39">
        <f>'Data Sheet'!H31/'Data Sheet'!H$17</f>
        <v>1.1096486143882256E-3</v>
      </c>
      <c r="F20" s="39">
        <f>'Data Sheet'!I31/'Data Sheet'!I$17</f>
        <v>1.4648938116028447E-3</v>
      </c>
      <c r="G20" s="39">
        <f>'Data Sheet'!J31/'Data Sheet'!J$17</f>
        <v>1.6901344759169966E-3</v>
      </c>
      <c r="H20" s="39">
        <f>'Data Sheet'!K31/'Data Sheet'!K$17</f>
        <v>1.2403467824323665E-3</v>
      </c>
    </row>
    <row r="21" spans="1:8" x14ac:dyDescent="0.3">
      <c r="B21" s="37" t="str">
        <f>'Data Sheet'!A34</f>
        <v>EBITDA</v>
      </c>
      <c r="C21" s="13">
        <f>'Data Sheet'!F34/'Data Sheet'!F$17</f>
        <v>5.2894011981491421E-2</v>
      </c>
      <c r="D21" s="13">
        <f>'Data Sheet'!G34/'Data Sheet'!G$17</f>
        <v>4.5509035897006445E-2</v>
      </c>
      <c r="E21" s="13">
        <f>'Data Sheet'!H34/'Data Sheet'!H$17</f>
        <v>3.626223231012575E-2</v>
      </c>
      <c r="F21" s="13">
        <f>'Data Sheet'!I34/'Data Sheet'!I$17</f>
        <v>4.2972405698486142E-2</v>
      </c>
      <c r="G21" s="13">
        <f>'Data Sheet'!J34/'Data Sheet'!J$17</f>
        <v>4.1235889638175559E-2</v>
      </c>
      <c r="H21" s="13">
        <f>'Data Sheet'!K34/'Data Sheet'!K$17</f>
        <v>4.8257724504054286E-2</v>
      </c>
    </row>
    <row r="22" spans="1:8" x14ac:dyDescent="0.3">
      <c r="B22" s="37"/>
      <c r="C22" s="13"/>
      <c r="D22" s="13"/>
      <c r="E22" s="13"/>
      <c r="F22" s="13"/>
      <c r="G22" s="13"/>
      <c r="H22" s="13"/>
    </row>
    <row r="23" spans="1:8" x14ac:dyDescent="0.3">
      <c r="B23" s="37"/>
      <c r="C23" s="13"/>
      <c r="D23" s="13"/>
      <c r="E23" s="13"/>
      <c r="F23" s="13"/>
      <c r="G23" s="13"/>
      <c r="H23" s="13"/>
    </row>
    <row r="25" spans="1:8" x14ac:dyDescent="0.3">
      <c r="B25" s="101" t="str">
        <f>"Common Size Balancesheet - "&amp;'Data Sheet'!$B$1</f>
        <v>Common Size Balancesheet - DIXON TECHNOLOGIES (INDIA) LTD</v>
      </c>
      <c r="C25" s="101"/>
      <c r="D25" s="101"/>
      <c r="E25" s="101"/>
      <c r="F25" s="101"/>
      <c r="G25" s="101"/>
      <c r="H25" s="101"/>
    </row>
    <row r="26" spans="1:8" x14ac:dyDescent="0.3">
      <c r="A26" t="s">
        <v>58</v>
      </c>
      <c r="B26" s="41"/>
      <c r="C26" s="42"/>
      <c r="D26" s="42"/>
      <c r="E26" s="42"/>
      <c r="F26" s="42"/>
      <c r="G26" s="42"/>
      <c r="H26" s="42"/>
    </row>
    <row r="27" spans="1:8" s="43" customFormat="1" x14ac:dyDescent="0.3">
      <c r="B27" s="44" t="s">
        <v>124</v>
      </c>
      <c r="C27" s="45">
        <f>'Data Sheet'!F$56</f>
        <v>43921</v>
      </c>
      <c r="D27" s="45">
        <f>'Data Sheet'!G$56</f>
        <v>44286</v>
      </c>
      <c r="E27" s="45">
        <f>'Data Sheet'!H$56</f>
        <v>44651</v>
      </c>
      <c r="F27" s="45">
        <f>'Data Sheet'!I$56</f>
        <v>45016</v>
      </c>
      <c r="G27" s="45">
        <f>'Data Sheet'!J$56</f>
        <v>45382</v>
      </c>
      <c r="H27" s="45">
        <f>'Data Sheet'!K$56</f>
        <v>45747</v>
      </c>
    </row>
    <row r="28" spans="1:8" s="43" customFormat="1" x14ac:dyDescent="0.3">
      <c r="B28" s="41"/>
      <c r="C28" s="42"/>
      <c r="D28" s="42"/>
      <c r="E28" s="42"/>
      <c r="F28" s="42"/>
      <c r="G28" s="42"/>
      <c r="H28" s="42"/>
    </row>
    <row r="29" spans="1:8" s="43" customFormat="1" x14ac:dyDescent="0.3">
      <c r="B29" s="38" t="s">
        <v>80</v>
      </c>
      <c r="C29" s="46">
        <f>'Data Sheet'!F61/'Data Sheet'!F$61</f>
        <v>1</v>
      </c>
      <c r="D29" s="46">
        <f>'Data Sheet'!G61/'Data Sheet'!G$61</f>
        <v>1</v>
      </c>
      <c r="E29" s="46">
        <f>'Data Sheet'!H61/'Data Sheet'!H$61</f>
        <v>1</v>
      </c>
      <c r="F29" s="46">
        <f>'Data Sheet'!I61/'Data Sheet'!I$61</f>
        <v>1</v>
      </c>
      <c r="G29" s="46">
        <f>'Data Sheet'!J61/'Data Sheet'!J$61</f>
        <v>1</v>
      </c>
      <c r="H29" s="46">
        <f>'Data Sheet'!K61/'Data Sheet'!K$61</f>
        <v>1</v>
      </c>
    </row>
    <row r="30" spans="1:8" x14ac:dyDescent="0.3">
      <c r="B30" s="37" t="str">
        <f>'Data Sheet'!A57</f>
        <v>Equity Share Capital</v>
      </c>
      <c r="C30" s="13">
        <f>'Data Sheet'!F57/'Data Sheet'!F$61</f>
        <v>6.8180746747124269E-3</v>
      </c>
      <c r="D30" s="13">
        <f>'Data Sheet'!G57/'Data Sheet'!G$61</f>
        <v>4.1150383390847825E-3</v>
      </c>
      <c r="E30" s="13">
        <f>'Data Sheet'!H57/'Data Sheet'!H$61</f>
        <v>2.7751994893819975E-3</v>
      </c>
      <c r="F30" s="13">
        <f>'Data Sheet'!I57/'Data Sheet'!I$61</f>
        <v>2.5451817849609887E-3</v>
      </c>
      <c r="G30" s="13">
        <f>'Data Sheet'!J57/'Data Sheet'!J$61</f>
        <v>1.7111307913407628E-3</v>
      </c>
      <c r="H30" s="13">
        <f>'Data Sheet'!K57/'Data Sheet'!K$61</f>
        <v>7.1907028091480068E-4</v>
      </c>
    </row>
    <row r="31" spans="1:8" x14ac:dyDescent="0.3">
      <c r="B31" s="37" t="str">
        <f>'Data Sheet'!A58</f>
        <v>Reserves</v>
      </c>
      <c r="C31" s="13">
        <f>'Data Sheet'!F58/'Data Sheet'!F$61</f>
        <v>0.31218178389590795</v>
      </c>
      <c r="D31" s="13">
        <f>'Data Sheet'!G58/'Data Sheet'!G$61</f>
        <v>0.25498126972301682</v>
      </c>
      <c r="E31" s="13">
        <f>'Data Sheet'!H58/'Data Sheet'!H$61</f>
        <v>0.23027141778325386</v>
      </c>
      <c r="F31" s="13">
        <f>'Data Sheet'!I58/'Data Sheet'!I$61</f>
        <v>0.27204168029012077</v>
      </c>
      <c r="G31" s="13">
        <f>'Data Sheet'!J58/'Data Sheet'!J$61</f>
        <v>0.24077298473574049</v>
      </c>
      <c r="H31" s="13">
        <f>'Data Sheet'!K58/'Data Sheet'!K$61</f>
        <v>0.1789112500186481</v>
      </c>
    </row>
    <row r="32" spans="1:8" x14ac:dyDescent="0.3">
      <c r="B32" s="37" t="str">
        <f>'Data Sheet'!A59</f>
        <v>Borrowings</v>
      </c>
      <c r="C32" s="13">
        <f>'Data Sheet'!F59/'Data Sheet'!F$61</f>
        <v>5.1073684706769755E-2</v>
      </c>
      <c r="D32" s="13">
        <f>'Data Sheet'!G59/'Data Sheet'!G$61</f>
        <v>0.10350147241764651</v>
      </c>
      <c r="E32" s="13">
        <f>'Data Sheet'!H59/'Data Sheet'!H$61</f>
        <v>0.15592085420967602</v>
      </c>
      <c r="F32" s="13">
        <f>'Data Sheet'!I59/'Data Sheet'!I$61</f>
        <v>9.6825895461626732E-2</v>
      </c>
      <c r="G32" s="13">
        <f>'Data Sheet'!J59/'Data Sheet'!J$61</f>
        <v>6.9958924276739637E-2</v>
      </c>
      <c r="H32" s="13">
        <f>'Data Sheet'!K59/'Data Sheet'!K$61</f>
        <v>4.0038788023451836E-2</v>
      </c>
    </row>
    <row r="33" spans="2:8" x14ac:dyDescent="0.3">
      <c r="B33" s="37" t="str">
        <f>'Data Sheet'!A60</f>
        <v>Other Liabilities</v>
      </c>
      <c r="C33" s="13">
        <f>'Data Sheet'!F60/'Data Sheet'!F$61</f>
        <v>0.62992645672260983</v>
      </c>
      <c r="D33" s="13">
        <f>'Data Sheet'!G60/'Data Sheet'!G$61</f>
        <v>0.63740221952025189</v>
      </c>
      <c r="E33" s="13">
        <f>'Data Sheet'!H60/'Data Sheet'!H$61</f>
        <v>0.61103252851768808</v>
      </c>
      <c r="F33" s="13">
        <f>'Data Sheet'!I60/'Data Sheet'!I$61</f>
        <v>0.62858724246329134</v>
      </c>
      <c r="G33" s="13">
        <f>'Data Sheet'!J60/'Data Sheet'!J$61</f>
        <v>0.68755696019617918</v>
      </c>
      <c r="H33" s="13">
        <f>'Data Sheet'!K60/'Data Sheet'!K$61</f>
        <v>0.78033089167698533</v>
      </c>
    </row>
    <row r="34" spans="2:8" x14ac:dyDescent="0.3">
      <c r="B34" s="37"/>
    </row>
    <row r="35" spans="2:8" x14ac:dyDescent="0.3">
      <c r="B35" s="11" t="s">
        <v>84</v>
      </c>
      <c r="C35" s="40">
        <f>'Data Sheet'!F66/'Data Sheet'!F$61</f>
        <v>1</v>
      </c>
      <c r="D35" s="40">
        <f>'Data Sheet'!G66/'Data Sheet'!G$61</f>
        <v>1</v>
      </c>
      <c r="E35" s="40">
        <f>'Data Sheet'!H66/'Data Sheet'!H$61</f>
        <v>1</v>
      </c>
      <c r="F35" s="40">
        <f>'Data Sheet'!I66/'Data Sheet'!I$61</f>
        <v>1</v>
      </c>
      <c r="G35" s="40">
        <f>'Data Sheet'!J66/'Data Sheet'!J$61</f>
        <v>1</v>
      </c>
      <c r="H35" s="40">
        <f>'Data Sheet'!K66/'Data Sheet'!K$61</f>
        <v>1</v>
      </c>
    </row>
    <row r="36" spans="2:8" x14ac:dyDescent="0.3">
      <c r="B36" s="37" t="str">
        <f>'Data Sheet'!A62</f>
        <v>Net Block</v>
      </c>
      <c r="C36" s="13">
        <f>'Data Sheet'!F62/'Data Sheet'!F$61</f>
        <v>0.24401282293041673</v>
      </c>
      <c r="D36" s="13">
        <f>'Data Sheet'!G62/'Data Sheet'!G$61</f>
        <v>0.19335760421132533</v>
      </c>
      <c r="E36" s="13">
        <f>'Data Sheet'!H62/'Data Sheet'!H$61</f>
        <v>0.2345686517019431</v>
      </c>
      <c r="F36" s="13">
        <f>'Data Sheet'!I62/'Data Sheet'!I$61</f>
        <v>0.26576741184289537</v>
      </c>
      <c r="G36" s="13">
        <f>'Data Sheet'!J62/'Data Sheet'!J$61</f>
        <v>0.28560575603795962</v>
      </c>
      <c r="H36" s="13">
        <f>'Data Sheet'!K62/'Data Sheet'!K$61</f>
        <v>0.16552102758425208</v>
      </c>
    </row>
    <row r="37" spans="2:8" x14ac:dyDescent="0.3">
      <c r="B37" s="37" t="str">
        <f>'Data Sheet'!A63</f>
        <v>Capital Work in Progress</v>
      </c>
      <c r="C37" s="13">
        <f>'Data Sheet'!F63/'Data Sheet'!F$61</f>
        <v>5.6277107297755986E-3</v>
      </c>
      <c r="D37" s="13">
        <f>'Data Sheet'!G63/'Data Sheet'!G$61</f>
        <v>2.5438738289184235E-2</v>
      </c>
      <c r="E37" s="13">
        <f>'Data Sheet'!H63/'Data Sheet'!H$61</f>
        <v>5.234769719230239E-3</v>
      </c>
      <c r="F37" s="13">
        <f>'Data Sheet'!I63/'Data Sheet'!I$61</f>
        <v>2.5580038594444195E-2</v>
      </c>
      <c r="G37" s="13">
        <f>'Data Sheet'!J63/'Data Sheet'!J$61</f>
        <v>9.7774814615575016E-3</v>
      </c>
      <c r="H37" s="13">
        <f>'Data Sheet'!K63/'Data Sheet'!K$61</f>
        <v>1.5333204039921826E-2</v>
      </c>
    </row>
    <row r="38" spans="2:8" x14ac:dyDescent="0.3">
      <c r="B38" s="37" t="str">
        <f>'Data Sheet'!A64</f>
        <v>Investments</v>
      </c>
      <c r="C38" s="13">
        <f>'Data Sheet'!F64/'Data Sheet'!F$61</f>
        <v>0</v>
      </c>
      <c r="D38" s="13">
        <f>'Data Sheet'!G64/'Data Sheet'!G$61</f>
        <v>3.3472024064716097E-2</v>
      </c>
      <c r="E38" s="13">
        <f>'Data Sheet'!H64/'Data Sheet'!H$61</f>
        <v>3.2956370684354377E-2</v>
      </c>
      <c r="F38" s="13">
        <f>'Data Sheet'!I64/'Data Sheet'!I$61</f>
        <v>9.4349098073910707E-3</v>
      </c>
      <c r="G38" s="13">
        <f>'Data Sheet'!J64/'Data Sheet'!J$61</f>
        <v>2.8671455734505754E-3</v>
      </c>
      <c r="H38" s="13">
        <f>'Data Sheet'!K64/'Data Sheet'!K$61</f>
        <v>3.1961331324312635E-2</v>
      </c>
    </row>
    <row r="39" spans="2:8" x14ac:dyDescent="0.3">
      <c r="B39" s="37" t="str">
        <f>'Data Sheet'!A67</f>
        <v>Receivables</v>
      </c>
      <c r="C39" s="13">
        <f>'Data Sheet'!F67/'Data Sheet'!F$66</f>
        <v>0.30355459174052424</v>
      </c>
      <c r="D39" s="13">
        <f>'Data Sheet'!G67/'Data Sheet'!G$66</f>
        <v>0.38270910790466889</v>
      </c>
      <c r="E39" s="13">
        <f>'Data Sheet'!H67/'Data Sheet'!H$66</f>
        <v>0.3171138860508233</v>
      </c>
      <c r="F39" s="13">
        <f>'Data Sheet'!I67/'Data Sheet'!I$66</f>
        <v>0.3665937945433525</v>
      </c>
      <c r="G39" s="13">
        <f>'Data Sheet'!J67/'Data Sheet'!J$66</f>
        <v>0.33162172563820458</v>
      </c>
      <c r="H39" s="13">
        <f>'Data Sheet'!K67/'Data Sheet'!K$66</f>
        <v>0.41565544300398322</v>
      </c>
    </row>
    <row r="40" spans="2:8" x14ac:dyDescent="0.3">
      <c r="B40" s="37" t="str">
        <f>'Data Sheet'!A68</f>
        <v>Inventory</v>
      </c>
      <c r="C40" s="13">
        <f>'Data Sheet'!F68/'Data Sheet'!F$66</f>
        <v>0.29337167640957945</v>
      </c>
      <c r="D40" s="13">
        <f>'Data Sheet'!G68/'Data Sheet'!G$66</f>
        <v>0.26118721140262718</v>
      </c>
      <c r="E40" s="13">
        <f>'Data Sheet'!H68/'Data Sheet'!H$66</f>
        <v>0.27019968811153172</v>
      </c>
      <c r="F40" s="13">
        <f>'Data Sheet'!I68/'Data Sheet'!I$66</f>
        <v>0.20469800809072899</v>
      </c>
      <c r="G40" s="13">
        <f>'Data Sheet'!J68/'Data Sheet'!J$66</f>
        <v>0.24250700690890517</v>
      </c>
      <c r="H40" s="13">
        <f>'Data Sheet'!K68/'Data Sheet'!K$66</f>
        <v>0.23824200742939836</v>
      </c>
    </row>
    <row r="41" spans="2:8" x14ac:dyDescent="0.3">
      <c r="B41" s="37" t="str">
        <f>'Data Sheet'!A69</f>
        <v>Cash &amp; Bank</v>
      </c>
      <c r="C41" s="13">
        <f>'Data Sheet'!F69/'Data Sheet'!F$66</f>
        <v>5.9023194418253815E-2</v>
      </c>
      <c r="D41" s="13">
        <f>'Data Sheet'!G69/'Data Sheet'!G$66</f>
        <v>2.4205281024437211E-2</v>
      </c>
      <c r="E41" s="13">
        <f>'Data Sheet'!H69/'Data Sheet'!H$66</f>
        <v>4.2630991987692796E-2</v>
      </c>
      <c r="F41" s="13">
        <f>'Data Sheet'!I69/'Data Sheet'!I$66</f>
        <v>4.8976050501877366E-2</v>
      </c>
      <c r="G41" s="13">
        <f>'Data Sheet'!J69/'Data Sheet'!J$66</f>
        <v>2.9851792609803522E-2</v>
      </c>
      <c r="H41" s="13">
        <f>'Data Sheet'!K69/'Data Sheet'!K$66</f>
        <v>1.5725858185018871E-2</v>
      </c>
    </row>
    <row r="42" spans="2:8" x14ac:dyDescent="0.3">
      <c r="B42" t="s">
        <v>41</v>
      </c>
      <c r="C42" s="13">
        <f>('Data Sheet'!F65-SUM('Data Sheet'!F67:F69))/'Data Sheet'!F$66</f>
        <v>9.4410003771450007E-2</v>
      </c>
      <c r="D42" s="13">
        <f>('Data Sheet'!G65-SUM('Data Sheet'!G67:G69))/'Data Sheet'!G$66</f>
        <v>7.9630033103041092E-2</v>
      </c>
      <c r="E42" s="13">
        <f>('Data Sheet'!H65-SUM('Data Sheet'!H67:H69))/'Data Sheet'!H$66</f>
        <v>9.7295641744424483E-2</v>
      </c>
      <c r="F42" s="13">
        <f>('Data Sheet'!I65-SUM('Data Sheet'!I67:I69))/'Data Sheet'!I$66</f>
        <v>7.8949786619310472E-2</v>
      </c>
      <c r="G42" s="13">
        <f>('Data Sheet'!J65-SUM('Data Sheet'!J67:J69))/'Data Sheet'!J$66</f>
        <v>9.7769091770118971E-2</v>
      </c>
      <c r="H42" s="13">
        <f>('Data Sheet'!K65-SUM('Data Sheet'!K67:K69))/'Data Sheet'!K$66</f>
        <v>0.117561128433113</v>
      </c>
    </row>
  </sheetData>
  <mergeCells count="2">
    <mergeCell ref="B2:H2"/>
    <mergeCell ref="B25:H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5332-A7AB-47DF-866D-9B65761B0D1F}">
  <dimension ref="A2:L29"/>
  <sheetViews>
    <sheetView showGridLines="0" tabSelected="1" workbookViewId="0">
      <selection activeCell="I31" sqref="I31"/>
    </sheetView>
  </sheetViews>
  <sheetFormatPr defaultRowHeight="14.4" x14ac:dyDescent="0.3"/>
  <cols>
    <col min="1" max="1" width="1.88671875" customWidth="1"/>
    <col min="2" max="2" width="15" customWidth="1"/>
    <col min="3" max="3" width="18.109375" customWidth="1"/>
    <col min="4" max="4" width="21.5546875" customWidth="1"/>
    <col min="5" max="5" width="11.6640625" bestFit="1" customWidth="1"/>
    <col min="6" max="8" width="10.77734375" customWidth="1"/>
    <col min="9" max="9" width="13.88671875" bestFit="1" customWidth="1"/>
    <col min="11" max="11" width="17.44140625" bestFit="1" customWidth="1"/>
    <col min="12" max="12" width="12.6640625" bestFit="1" customWidth="1"/>
    <col min="13" max="13" width="13.44140625" bestFit="1" customWidth="1"/>
    <col min="14" max="15" width="12" bestFit="1" customWidth="1"/>
    <col min="16" max="16" width="12.6640625" bestFit="1" customWidth="1"/>
    <col min="17" max="17" width="12" bestFit="1" customWidth="1"/>
    <col min="18" max="18" width="12.6640625" bestFit="1" customWidth="1"/>
    <col min="19" max="19" width="12.109375" bestFit="1" customWidth="1"/>
  </cols>
  <sheetData>
    <row r="2" spans="1:11" x14ac:dyDescent="0.3">
      <c r="A2" t="s">
        <v>58</v>
      </c>
      <c r="B2" s="109" t="str">
        <f>'Data Sheet'!$B$1 &amp; "- Sales Forecasting"</f>
        <v>DIXON TECHNOLOGIES (INDIA) LTD- Sales Forecasting</v>
      </c>
      <c r="C2" s="109"/>
      <c r="D2" s="109"/>
      <c r="E2" s="34"/>
    </row>
    <row r="3" spans="1:11" x14ac:dyDescent="0.3">
      <c r="B3" s="92" t="s">
        <v>123</v>
      </c>
      <c r="C3" s="92" t="s">
        <v>12</v>
      </c>
      <c r="D3" s="93" t="s">
        <v>59</v>
      </c>
    </row>
    <row r="4" spans="1:11" x14ac:dyDescent="0.3">
      <c r="B4" s="94">
        <v>2020</v>
      </c>
      <c r="C4" s="57">
        <v>4400.12</v>
      </c>
      <c r="D4" s="58"/>
      <c r="E4" s="58"/>
      <c r="F4" s="58"/>
      <c r="G4" s="58"/>
      <c r="H4" s="58"/>
      <c r="J4" s="101" t="s">
        <v>133</v>
      </c>
      <c r="K4" s="101"/>
    </row>
    <row r="5" spans="1:11" x14ac:dyDescent="0.3">
      <c r="B5" s="94">
        <f t="shared" ref="B5:B14" si="0">B4+1</f>
        <v>2021</v>
      </c>
      <c r="C5" s="57">
        <v>6448.17</v>
      </c>
      <c r="D5" s="58">
        <f>(C5/C4)-1</f>
        <v>0.46545321491232072</v>
      </c>
      <c r="E5" s="58"/>
      <c r="F5" s="58"/>
      <c r="G5" s="58"/>
      <c r="H5" s="58"/>
      <c r="J5" s="89">
        <v>2026</v>
      </c>
      <c r="K5" s="88">
        <f>Assumptions!C5</f>
        <v>0.25</v>
      </c>
    </row>
    <row r="6" spans="1:11" x14ac:dyDescent="0.3">
      <c r="B6" s="94">
        <f t="shared" si="0"/>
        <v>2022</v>
      </c>
      <c r="C6" s="57">
        <v>10697.08</v>
      </c>
      <c r="D6" s="58">
        <f>(C6/C5)-1</f>
        <v>0.65893268942971406</v>
      </c>
      <c r="E6" s="58"/>
      <c r="F6" s="58"/>
      <c r="G6" s="58"/>
      <c r="H6" s="58"/>
      <c r="J6" s="89">
        <v>2027</v>
      </c>
      <c r="K6" s="88">
        <f>Assumptions!D5</f>
        <v>0.22</v>
      </c>
    </row>
    <row r="7" spans="1:11" x14ac:dyDescent="0.3">
      <c r="B7" s="94">
        <f>B6+1</f>
        <v>2023</v>
      </c>
      <c r="C7" s="57">
        <v>12192.01</v>
      </c>
      <c r="D7" s="58">
        <f>(C7/C6)-1</f>
        <v>0.13975122182876087</v>
      </c>
      <c r="E7" s="58"/>
      <c r="F7" s="58"/>
      <c r="G7" s="58"/>
      <c r="H7" s="58"/>
      <c r="J7" s="89">
        <v>2028</v>
      </c>
      <c r="K7" s="88">
        <f>Assumptions!E5</f>
        <v>0.15</v>
      </c>
    </row>
    <row r="8" spans="1:11" x14ac:dyDescent="0.3">
      <c r="B8" s="94">
        <f t="shared" si="0"/>
        <v>2024</v>
      </c>
      <c r="C8" s="57">
        <v>17690.900000000001</v>
      </c>
      <c r="D8" s="58">
        <f>(C8/C7)-1</f>
        <v>0.45102407232277542</v>
      </c>
      <c r="E8" s="58"/>
      <c r="F8" s="58"/>
      <c r="G8" s="58"/>
      <c r="H8" s="58"/>
      <c r="J8" s="89">
        <v>2029</v>
      </c>
      <c r="K8" s="88">
        <f>Assumptions!F5</f>
        <v>0.18</v>
      </c>
    </row>
    <row r="9" spans="1:11" x14ac:dyDescent="0.3">
      <c r="B9" s="94">
        <f t="shared" si="0"/>
        <v>2025</v>
      </c>
      <c r="C9" s="57">
        <v>38860.1</v>
      </c>
      <c r="D9" s="58">
        <f>(C9/C8)-1</f>
        <v>1.1966152089492335</v>
      </c>
      <c r="E9" s="58"/>
      <c r="F9" s="58"/>
      <c r="G9" s="58"/>
      <c r="H9" s="58"/>
      <c r="J9" s="89">
        <v>2030</v>
      </c>
      <c r="K9" s="88">
        <f>Assumptions!G5</f>
        <v>0.12</v>
      </c>
    </row>
    <row r="10" spans="1:11" x14ac:dyDescent="0.3">
      <c r="B10" s="95">
        <f t="shared" si="0"/>
        <v>2026</v>
      </c>
      <c r="C10" s="57">
        <f>C9+(C9*K5)</f>
        <v>48575.125</v>
      </c>
      <c r="D10" s="58">
        <f>K5</f>
        <v>0.25</v>
      </c>
      <c r="E10" s="58"/>
      <c r="F10" s="58"/>
      <c r="G10" s="58"/>
      <c r="H10" s="58"/>
    </row>
    <row r="11" spans="1:11" x14ac:dyDescent="0.3">
      <c r="B11" s="95">
        <f t="shared" si="0"/>
        <v>2027</v>
      </c>
      <c r="C11" s="57">
        <f>C10+(C10*K6)</f>
        <v>59261.652499999997</v>
      </c>
      <c r="D11" s="58">
        <f>K6</f>
        <v>0.22</v>
      </c>
      <c r="E11" s="58"/>
      <c r="F11" s="58"/>
      <c r="G11" s="58"/>
      <c r="H11" s="58"/>
    </row>
    <row r="12" spans="1:11" x14ac:dyDescent="0.3">
      <c r="B12" s="95">
        <f t="shared" si="0"/>
        <v>2028</v>
      </c>
      <c r="C12" s="57">
        <f>C11+(C11*K7)</f>
        <v>68150.900374999997</v>
      </c>
      <c r="D12" s="58">
        <f>K7</f>
        <v>0.15</v>
      </c>
      <c r="E12" s="58"/>
      <c r="F12" s="58"/>
      <c r="G12" s="58"/>
      <c r="H12" s="58"/>
    </row>
    <row r="13" spans="1:11" x14ac:dyDescent="0.3">
      <c r="B13" s="95">
        <f t="shared" si="0"/>
        <v>2029</v>
      </c>
      <c r="C13" s="57">
        <f>C12+(C12*K8)</f>
        <v>80418.062442499999</v>
      </c>
      <c r="D13" s="58">
        <f>K8</f>
        <v>0.18</v>
      </c>
      <c r="E13" s="58"/>
      <c r="F13" s="58"/>
      <c r="G13" s="58"/>
      <c r="H13" s="58"/>
      <c r="J13" s="67" t="s">
        <v>185</v>
      </c>
      <c r="K13" s="65">
        <f>Assumptions!C10</f>
        <v>0.25</v>
      </c>
    </row>
    <row r="14" spans="1:11" x14ac:dyDescent="0.3">
      <c r="B14" s="95">
        <f t="shared" si="0"/>
        <v>2030</v>
      </c>
      <c r="C14" s="57">
        <f>C13+(C13*K9)</f>
        <v>90068.2299356</v>
      </c>
      <c r="D14" s="58">
        <f>K9</f>
        <v>0.12</v>
      </c>
      <c r="E14" s="58"/>
      <c r="F14" s="58"/>
      <c r="G14" s="58"/>
      <c r="H14" s="58"/>
    </row>
    <row r="15" spans="1:11" x14ac:dyDescent="0.3">
      <c r="B15" s="35" t="s">
        <v>134</v>
      </c>
      <c r="C15" s="36"/>
      <c r="H15" s="96"/>
    </row>
    <row r="16" spans="1:11" ht="14.4" customHeight="1" x14ac:dyDescent="0.3">
      <c r="A16" t="s">
        <v>58</v>
      </c>
      <c r="B16" s="109" t="str">
        <f>'Data Sheet'!$B$1 &amp; "- EBITDA Forecasting"</f>
        <v>DIXON TECHNOLOGIES (INDIA) LTD- EBITDA Forecasting</v>
      </c>
      <c r="C16" s="109"/>
      <c r="D16" s="109"/>
      <c r="E16" s="109"/>
      <c r="F16" s="109"/>
      <c r="G16" s="97"/>
      <c r="H16" s="96"/>
    </row>
    <row r="17" spans="2:12" x14ac:dyDescent="0.3">
      <c r="B17" s="92" t="s">
        <v>123</v>
      </c>
      <c r="C17" s="93" t="s">
        <v>135</v>
      </c>
      <c r="D17" s="93" t="s">
        <v>136</v>
      </c>
      <c r="E17" s="93" t="s">
        <v>21</v>
      </c>
      <c r="F17" s="93" t="s">
        <v>197</v>
      </c>
      <c r="G17" s="93" t="s">
        <v>201</v>
      </c>
      <c r="H17" s="96"/>
      <c r="J17" s="101" t="s">
        <v>198</v>
      </c>
      <c r="K17" s="101"/>
      <c r="L17" s="101"/>
    </row>
    <row r="18" spans="2:12" x14ac:dyDescent="0.3">
      <c r="B18" s="94">
        <v>2020</v>
      </c>
      <c r="C18" s="58">
        <v>5.1778133323636809E-2</v>
      </c>
      <c r="D18" s="96">
        <f t="shared" ref="D18:D28" si="1">C4*C18</f>
        <v>227.83000000000078</v>
      </c>
      <c r="E18" s="96">
        <f>HistoricalFS!C25</f>
        <v>36.53</v>
      </c>
      <c r="F18" s="96">
        <f>D18-E18</f>
        <v>191.30000000000078</v>
      </c>
      <c r="G18" s="96">
        <f t="shared" ref="G18:G28" si="2">F18*(1-$K$13)</f>
        <v>143.47500000000059</v>
      </c>
      <c r="H18" s="96"/>
      <c r="K18" s="98" t="s">
        <v>199</v>
      </c>
      <c r="L18" t="s">
        <v>200</v>
      </c>
    </row>
    <row r="19" spans="2:12" x14ac:dyDescent="0.3">
      <c r="B19" s="94">
        <f t="shared" ref="B19:B28" si="3">B18+1</f>
        <v>2021</v>
      </c>
      <c r="C19" s="58">
        <v>4.5315182447112801E-2</v>
      </c>
      <c r="D19" s="96">
        <f t="shared" si="1"/>
        <v>292.19999999999936</v>
      </c>
      <c r="E19" s="96">
        <f>HistoricalFS!D25</f>
        <v>43.72</v>
      </c>
      <c r="F19" s="96">
        <f t="shared" ref="F19:F28" si="4">D19-E19</f>
        <v>248.47999999999936</v>
      </c>
      <c r="G19" s="96">
        <f t="shared" si="2"/>
        <v>186.35999999999953</v>
      </c>
      <c r="H19" s="96"/>
      <c r="J19" s="89">
        <v>2026</v>
      </c>
      <c r="K19" s="88">
        <f>Assumptions!C8</f>
        <v>4.4999999999999998E-2</v>
      </c>
      <c r="L19" s="65">
        <f>Assumptions!$C$12</f>
        <v>8.0000000000000002E-3</v>
      </c>
    </row>
    <row r="20" spans="2:12" x14ac:dyDescent="0.3">
      <c r="B20" s="94">
        <f t="shared" si="3"/>
        <v>2022</v>
      </c>
      <c r="C20" s="58">
        <v>3.5925691871052753E-2</v>
      </c>
      <c r="D20" s="96">
        <f t="shared" si="1"/>
        <v>384.30000000000098</v>
      </c>
      <c r="E20" s="96">
        <f>HistoricalFS!E25</f>
        <v>83.95</v>
      </c>
      <c r="F20" s="96">
        <f t="shared" si="4"/>
        <v>300.35000000000099</v>
      </c>
      <c r="G20" s="96">
        <f t="shared" si="2"/>
        <v>225.26250000000073</v>
      </c>
      <c r="H20" s="96"/>
      <c r="J20" s="89">
        <v>2027</v>
      </c>
      <c r="K20" s="88">
        <f>Assumptions!D8</f>
        <v>0.05</v>
      </c>
      <c r="L20" s="65">
        <f>Assumptions!$D$12</f>
        <v>8.0000000000000002E-3</v>
      </c>
    </row>
    <row r="21" spans="2:12" x14ac:dyDescent="0.3">
      <c r="B21" s="94">
        <f>B20+1</f>
        <v>2023</v>
      </c>
      <c r="C21" s="58">
        <v>4.2605772140934965E-2</v>
      </c>
      <c r="D21" s="96">
        <f t="shared" si="1"/>
        <v>519.4500000000005</v>
      </c>
      <c r="E21" s="96">
        <f>HistoricalFS!F25</f>
        <v>114.63</v>
      </c>
      <c r="F21" s="96">
        <f t="shared" si="4"/>
        <v>404.8200000000005</v>
      </c>
      <c r="G21" s="96">
        <f t="shared" si="2"/>
        <v>303.61500000000035</v>
      </c>
      <c r="H21" s="96"/>
      <c r="J21" s="89">
        <v>2028</v>
      </c>
      <c r="K21" s="88">
        <f>Assumptions!E8</f>
        <v>5.8999999999999997E-2</v>
      </c>
      <c r="L21" s="65">
        <f>Assumptions!$E$12</f>
        <v>8.0000000000000002E-3</v>
      </c>
    </row>
    <row r="22" spans="2:12" x14ac:dyDescent="0.3">
      <c r="B22" s="94">
        <f t="shared" si="3"/>
        <v>2024</v>
      </c>
      <c r="C22" s="58">
        <v>3.9853823152016021E-2</v>
      </c>
      <c r="D22" s="96">
        <f t="shared" si="1"/>
        <v>705.0500000000003</v>
      </c>
      <c r="E22" s="96">
        <f>HistoricalFS!G25</f>
        <v>161.88</v>
      </c>
      <c r="F22" s="96">
        <f t="shared" si="4"/>
        <v>543.1700000000003</v>
      </c>
      <c r="G22" s="96">
        <f t="shared" si="2"/>
        <v>407.37750000000023</v>
      </c>
      <c r="H22" s="96"/>
      <c r="J22" s="89">
        <v>2029</v>
      </c>
      <c r="K22" s="88">
        <f>Assumptions!F8</f>
        <v>6.8000000000000005E-2</v>
      </c>
      <c r="L22" s="65">
        <f>Assumptions!$F$12</f>
        <v>8.0000000000000002E-3</v>
      </c>
    </row>
    <row r="23" spans="2:12" x14ac:dyDescent="0.3">
      <c r="B23" s="94">
        <f t="shared" si="3"/>
        <v>2025</v>
      </c>
      <c r="C23" s="58">
        <v>3.8982143638333432E-2</v>
      </c>
      <c r="D23" s="96">
        <f t="shared" si="1"/>
        <v>1514.8500000000008</v>
      </c>
      <c r="E23" s="96">
        <f>HistoricalFS!H25</f>
        <v>281.02</v>
      </c>
      <c r="F23" s="96">
        <f t="shared" si="4"/>
        <v>1233.8300000000008</v>
      </c>
      <c r="G23" s="96">
        <f t="shared" si="2"/>
        <v>925.37250000000063</v>
      </c>
      <c r="H23" s="96"/>
      <c r="J23" s="89">
        <v>2030</v>
      </c>
      <c r="K23" s="88">
        <f>Assumptions!G8</f>
        <v>7.4999999999999997E-2</v>
      </c>
      <c r="L23" s="65">
        <f>Assumptions!$G$12</f>
        <v>8.0000000000000002E-3</v>
      </c>
    </row>
    <row r="24" spans="2:12" x14ac:dyDescent="0.3">
      <c r="B24" s="95">
        <f t="shared" si="3"/>
        <v>2026</v>
      </c>
      <c r="C24" s="58">
        <f>K19</f>
        <v>4.4999999999999998E-2</v>
      </c>
      <c r="D24" s="96">
        <f t="shared" si="1"/>
        <v>2185.8806249999998</v>
      </c>
      <c r="E24" s="96">
        <f>C10*L19</f>
        <v>388.601</v>
      </c>
      <c r="F24" s="96">
        <f t="shared" si="4"/>
        <v>1797.2796249999997</v>
      </c>
      <c r="G24" s="96">
        <f t="shared" si="2"/>
        <v>1347.9597187499999</v>
      </c>
    </row>
    <row r="25" spans="2:12" x14ac:dyDescent="0.3">
      <c r="B25" s="95">
        <f t="shared" si="3"/>
        <v>2027</v>
      </c>
      <c r="C25" s="58">
        <f>K20</f>
        <v>0.05</v>
      </c>
      <c r="D25" s="96">
        <f t="shared" si="1"/>
        <v>2963.082625</v>
      </c>
      <c r="E25" s="96">
        <f>C11*L20</f>
        <v>474.09321999999997</v>
      </c>
      <c r="F25" s="96">
        <f t="shared" si="4"/>
        <v>2488.9894050000003</v>
      </c>
      <c r="G25" s="96">
        <f t="shared" si="2"/>
        <v>1866.7420537500002</v>
      </c>
    </row>
    <row r="26" spans="2:12" x14ac:dyDescent="0.3">
      <c r="B26" s="95">
        <f t="shared" si="3"/>
        <v>2028</v>
      </c>
      <c r="C26" s="58">
        <f>K21</f>
        <v>5.8999999999999997E-2</v>
      </c>
      <c r="D26" s="96">
        <f t="shared" si="1"/>
        <v>4020.9031221249998</v>
      </c>
      <c r="E26" s="96">
        <f>C12*L21</f>
        <v>545.20720299999994</v>
      </c>
      <c r="F26" s="96">
        <f t="shared" si="4"/>
        <v>3475.6959191249998</v>
      </c>
      <c r="G26" s="96">
        <f t="shared" si="2"/>
        <v>2606.7719393437501</v>
      </c>
    </row>
    <row r="27" spans="2:12" x14ac:dyDescent="0.3">
      <c r="B27" s="95">
        <f t="shared" si="3"/>
        <v>2029</v>
      </c>
      <c r="C27" s="58">
        <f>K22</f>
        <v>6.8000000000000005E-2</v>
      </c>
      <c r="D27" s="96">
        <f t="shared" si="1"/>
        <v>5468.4282460900004</v>
      </c>
      <c r="E27" s="96">
        <f>C13*L22</f>
        <v>643.34449954000002</v>
      </c>
      <c r="F27" s="96">
        <f t="shared" si="4"/>
        <v>4825.0837465500008</v>
      </c>
      <c r="G27" s="96">
        <f t="shared" si="2"/>
        <v>3618.8128099125006</v>
      </c>
    </row>
    <row r="28" spans="2:12" x14ac:dyDescent="0.3">
      <c r="B28" s="95">
        <f t="shared" si="3"/>
        <v>2030</v>
      </c>
      <c r="C28" s="58">
        <f>K23</f>
        <v>7.4999999999999997E-2</v>
      </c>
      <c r="D28" s="96">
        <f t="shared" si="1"/>
        <v>6755.1172451699995</v>
      </c>
      <c r="E28" s="96">
        <f>C14*L23</f>
        <v>720.54583948480001</v>
      </c>
      <c r="F28" s="96">
        <f t="shared" si="4"/>
        <v>6034.5714056851994</v>
      </c>
      <c r="G28" s="96">
        <f t="shared" si="2"/>
        <v>4525.9285542638991</v>
      </c>
    </row>
    <row r="29" spans="2:12" x14ac:dyDescent="0.3">
      <c r="B29" s="35"/>
      <c r="C29" s="36"/>
    </row>
  </sheetData>
  <mergeCells count="4">
    <mergeCell ref="J4:K4"/>
    <mergeCell ref="B2:D2"/>
    <mergeCell ref="B16:F16"/>
    <mergeCell ref="J17:L1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2872-5877-4968-ABFB-72D1AA02CD8A}">
  <dimension ref="A1:Q16"/>
  <sheetViews>
    <sheetView showGridLines="0" workbookViewId="0">
      <selection activeCell="I29" sqref="I29"/>
    </sheetView>
  </sheetViews>
  <sheetFormatPr defaultRowHeight="14.4" x14ac:dyDescent="0.3"/>
  <cols>
    <col min="1" max="1" width="1.88671875" customWidth="1"/>
    <col min="3" max="3" width="9" bestFit="1" customWidth="1"/>
    <col min="4" max="4" width="10.5546875" bestFit="1" customWidth="1"/>
    <col min="5" max="5" width="8.77734375" bestFit="1" customWidth="1"/>
    <col min="6" max="6" width="8" bestFit="1" customWidth="1"/>
    <col min="7" max="7" width="14.5546875" bestFit="1" customWidth="1"/>
    <col min="8" max="8" width="13.77734375" bestFit="1" customWidth="1"/>
    <col min="9" max="10" width="13.77734375" customWidth="1"/>
    <col min="11" max="11" width="15.44140625" bestFit="1" customWidth="1"/>
    <col min="12" max="12" width="13.77734375" customWidth="1"/>
    <col min="15" max="15" width="14.5546875" bestFit="1" customWidth="1"/>
    <col min="16" max="16" width="13.77734375" bestFit="1" customWidth="1"/>
    <col min="17" max="17" width="10" customWidth="1"/>
    <col min="18" max="18" width="14.5546875" bestFit="1" customWidth="1"/>
    <col min="19" max="19" width="13.77734375" bestFit="1" customWidth="1"/>
  </cols>
  <sheetData>
    <row r="1" spans="1:17" x14ac:dyDescent="0.3">
      <c r="A1" s="34"/>
    </row>
    <row r="4" spans="1:17" x14ac:dyDescent="0.3">
      <c r="B4" s="101" t="s">
        <v>146</v>
      </c>
      <c r="C4" s="101"/>
      <c r="D4" s="101"/>
      <c r="E4" s="101"/>
      <c r="F4" s="101"/>
      <c r="G4" s="101"/>
      <c r="H4" s="101"/>
      <c r="I4" s="101"/>
      <c r="J4" s="101"/>
      <c r="K4" s="101"/>
      <c r="N4" s="101" t="s">
        <v>139</v>
      </c>
      <c r="O4" s="101"/>
      <c r="P4" s="101"/>
      <c r="Q4" s="101"/>
    </row>
    <row r="5" spans="1:17" x14ac:dyDescent="0.3">
      <c r="B5" s="68" t="s">
        <v>123</v>
      </c>
      <c r="C5" s="68" t="s">
        <v>137</v>
      </c>
      <c r="D5" s="68" t="s">
        <v>42</v>
      </c>
      <c r="E5" s="68" t="s">
        <v>43</v>
      </c>
      <c r="F5" s="68" t="s">
        <v>60</v>
      </c>
      <c r="G5" s="68" t="s">
        <v>138</v>
      </c>
      <c r="H5" s="68" t="s">
        <v>112</v>
      </c>
      <c r="I5" s="68" t="s">
        <v>140</v>
      </c>
      <c r="J5" s="68" t="s">
        <v>141</v>
      </c>
      <c r="K5" s="68" t="s">
        <v>142</v>
      </c>
      <c r="N5" s="66" t="s">
        <v>123</v>
      </c>
      <c r="O5" s="66" t="s">
        <v>138</v>
      </c>
      <c r="P5" s="66" t="s">
        <v>112</v>
      </c>
      <c r="Q5" s="66" t="s">
        <v>60</v>
      </c>
    </row>
    <row r="6" spans="1:17" x14ac:dyDescent="0.3">
      <c r="B6" s="60" cm="1">
        <f t="array" ref="B6:B11">TRANSPOSE(YEAR(HistoricalFS!C3:H3))</f>
        <v>2020</v>
      </c>
      <c r="C6" s="56" cm="1">
        <f t="array" ref="C6:C11">TRANSPOSE(HistoricalFS!C6:H6)</f>
        <v>4400.12</v>
      </c>
      <c r="D6" s="56" cm="1">
        <f t="array" ref="D6:D11">TRANSPOSE(HistoricalFS!C63:H63)</f>
        <v>515.12</v>
      </c>
      <c r="E6" s="56" cm="1">
        <f t="array" ref="E6:E11">TRANSPOSE(HistoricalFS!C64:H64)</f>
        <v>497.84</v>
      </c>
      <c r="F6" s="56" cm="1">
        <f t="array" ref="F6:F11">TRANSPOSE(HistoricalFS!C9:H9)</f>
        <v>4119.7099999999991</v>
      </c>
      <c r="G6" s="56">
        <f>D6/C6*365</f>
        <v>42.730380080543256</v>
      </c>
      <c r="H6" s="56">
        <f>E6/F6*365</f>
        <v>44.107861961157468</v>
      </c>
      <c r="I6" s="56"/>
      <c r="J6" s="56"/>
      <c r="K6" s="56"/>
      <c r="N6" s="90">
        <v>2026</v>
      </c>
      <c r="O6">
        <f>Assumptions!$C$15</f>
        <v>57</v>
      </c>
      <c r="P6">
        <f>Assumptions!$C$16</f>
        <v>39</v>
      </c>
      <c r="Q6" s="88">
        <f>Assumptions!C6</f>
        <v>0.95199999999999996</v>
      </c>
    </row>
    <row r="7" spans="1:17" x14ac:dyDescent="0.3">
      <c r="B7" s="60">
        <v>2021</v>
      </c>
      <c r="C7" s="56">
        <v>6448.17</v>
      </c>
      <c r="D7" s="56">
        <v>1089.06</v>
      </c>
      <c r="E7" s="56">
        <v>743.25</v>
      </c>
      <c r="F7" s="56">
        <v>6082.9500000000007</v>
      </c>
      <c r="G7" s="56">
        <f t="shared" ref="G7:G11" si="0">D7/C7*365</f>
        <v>61.646467137187756</v>
      </c>
      <c r="H7" s="56">
        <f t="shared" ref="H7:H11" si="1">E7/F7*365</f>
        <v>44.597810272976098</v>
      </c>
      <c r="I7" s="56">
        <f>D7-D6</f>
        <v>573.93999999999994</v>
      </c>
      <c r="J7" s="56">
        <f>E7-E6</f>
        <v>245.41000000000003</v>
      </c>
      <c r="K7" s="56">
        <f t="shared" ref="K7:K16" si="2">J7+I7</f>
        <v>819.34999999999991</v>
      </c>
      <c r="N7" s="90">
        <v>2027</v>
      </c>
      <c r="O7">
        <f>Assumptions!$D$15</f>
        <v>54</v>
      </c>
      <c r="P7">
        <f>Assumptions!$D$16</f>
        <v>39</v>
      </c>
      <c r="Q7" s="88">
        <f>Assumptions!D6</f>
        <v>0.95</v>
      </c>
    </row>
    <row r="8" spans="1:17" x14ac:dyDescent="0.3">
      <c r="B8" s="60">
        <v>2022</v>
      </c>
      <c r="C8" s="56">
        <v>10697.08</v>
      </c>
      <c r="D8" s="56">
        <v>1356.35</v>
      </c>
      <c r="E8" s="56">
        <v>1155.69</v>
      </c>
      <c r="F8" s="56">
        <v>10225.369999999999</v>
      </c>
      <c r="G8" s="56">
        <f t="shared" si="0"/>
        <v>46.280643876646714</v>
      </c>
      <c r="H8" s="56">
        <f t="shared" si="1"/>
        <v>41.252966885305867</v>
      </c>
      <c r="I8" s="56">
        <f t="shared" ref="I8:I16" si="3">D8-D7</f>
        <v>267.28999999999996</v>
      </c>
      <c r="J8" s="56">
        <f t="shared" ref="J8:J16" si="4">E8-E7</f>
        <v>412.44000000000005</v>
      </c>
      <c r="K8" s="56">
        <f t="shared" si="2"/>
        <v>679.73</v>
      </c>
      <c r="N8" s="90">
        <v>2028</v>
      </c>
      <c r="O8">
        <f>Assumptions!$E$15</f>
        <v>50</v>
      </c>
      <c r="P8">
        <f>Assumptions!$E$16</f>
        <v>38</v>
      </c>
      <c r="Q8" s="88">
        <f>Assumptions!E6</f>
        <v>0.94799999999999995</v>
      </c>
    </row>
    <row r="9" spans="1:17" x14ac:dyDescent="0.3">
      <c r="B9" s="60">
        <v>2023</v>
      </c>
      <c r="C9" s="56">
        <v>12192.01</v>
      </c>
      <c r="D9" s="56">
        <v>1715.45</v>
      </c>
      <c r="E9" s="56">
        <v>957.87</v>
      </c>
      <c r="F9" s="56">
        <v>11566.32</v>
      </c>
      <c r="G9" s="56">
        <f t="shared" si="0"/>
        <v>51.35652365770698</v>
      </c>
      <c r="H9" s="56">
        <f t="shared" si="1"/>
        <v>30.227639387462911</v>
      </c>
      <c r="I9" s="56">
        <f t="shared" si="3"/>
        <v>359.10000000000014</v>
      </c>
      <c r="J9" s="56">
        <f t="shared" si="4"/>
        <v>-197.82000000000005</v>
      </c>
      <c r="K9" s="56">
        <f t="shared" si="2"/>
        <v>161.28000000000009</v>
      </c>
      <c r="N9" s="90">
        <v>2029</v>
      </c>
      <c r="O9">
        <f>Assumptions!$F$15</f>
        <v>47</v>
      </c>
      <c r="P9">
        <f>Assumptions!$F$16</f>
        <v>38</v>
      </c>
      <c r="Q9" s="88">
        <f>Assumptions!F6</f>
        <v>0.94699999999999995</v>
      </c>
    </row>
    <row r="10" spans="1:17" x14ac:dyDescent="0.3">
      <c r="B10" s="60">
        <v>2024</v>
      </c>
      <c r="C10" s="56">
        <v>17690.900000000001</v>
      </c>
      <c r="D10" s="56">
        <v>2317.88</v>
      </c>
      <c r="E10" s="56">
        <v>1695.01</v>
      </c>
      <c r="F10" s="56">
        <v>16854.72</v>
      </c>
      <c r="G10" s="56">
        <f t="shared" si="0"/>
        <v>47.822677195620344</v>
      </c>
      <c r="H10" s="56">
        <f t="shared" si="1"/>
        <v>36.706551636574204</v>
      </c>
      <c r="I10" s="56">
        <f t="shared" si="3"/>
        <v>602.43000000000006</v>
      </c>
      <c r="J10" s="56">
        <f t="shared" si="4"/>
        <v>737.14</v>
      </c>
      <c r="K10" s="56">
        <f t="shared" si="2"/>
        <v>1339.5700000000002</v>
      </c>
      <c r="N10" s="90">
        <v>2030</v>
      </c>
      <c r="O10">
        <f>Assumptions!$G$15</f>
        <v>44</v>
      </c>
      <c r="P10">
        <f>Assumptions!$G$16</f>
        <v>38</v>
      </c>
      <c r="Q10" s="88">
        <f>Assumptions!G6</f>
        <v>0.94499999999999995</v>
      </c>
    </row>
    <row r="11" spans="1:17" x14ac:dyDescent="0.3">
      <c r="B11" s="60">
        <v>2025</v>
      </c>
      <c r="C11" s="56">
        <v>38860.1</v>
      </c>
      <c r="D11" s="56">
        <v>6965.45</v>
      </c>
      <c r="E11" s="56">
        <v>3992.4</v>
      </c>
      <c r="F11" s="56">
        <v>37116.31</v>
      </c>
      <c r="G11" s="56">
        <f t="shared" si="0"/>
        <v>65.424156139587907</v>
      </c>
      <c r="H11" s="56">
        <f t="shared" si="1"/>
        <v>39.261068786202081</v>
      </c>
      <c r="I11" s="56">
        <f t="shared" si="3"/>
        <v>4647.57</v>
      </c>
      <c r="J11" s="56">
        <f t="shared" si="4"/>
        <v>2297.3900000000003</v>
      </c>
      <c r="K11" s="56">
        <f t="shared" si="2"/>
        <v>6944.96</v>
      </c>
    </row>
    <row r="12" spans="1:17" x14ac:dyDescent="0.3">
      <c r="B12" s="61">
        <f t="shared" ref="B12:B16" si="5">B11+1</f>
        <v>2026</v>
      </c>
      <c r="C12" s="56">
        <f>Forecasting!C10</f>
        <v>48575.125</v>
      </c>
      <c r="D12" s="56">
        <f>(O6/365)*C12</f>
        <v>7585.7044520547943</v>
      </c>
      <c r="E12" s="56">
        <f>(P6/365)*F12</f>
        <v>4941.0883315068495</v>
      </c>
      <c r="F12" s="56">
        <f>C12*Q6</f>
        <v>46243.519</v>
      </c>
      <c r="G12" s="56">
        <f>Assumptions!C15</f>
        <v>57</v>
      </c>
      <c r="H12" s="56">
        <f>Assumptions!C16</f>
        <v>39</v>
      </c>
      <c r="I12" s="56">
        <f t="shared" si="3"/>
        <v>620.25445205479446</v>
      </c>
      <c r="J12" s="56">
        <f t="shared" si="4"/>
        <v>948.68833150684941</v>
      </c>
      <c r="K12" s="56">
        <f t="shared" si="2"/>
        <v>1568.9427835616439</v>
      </c>
    </row>
    <row r="13" spans="1:17" x14ac:dyDescent="0.3">
      <c r="B13" s="61">
        <f t="shared" si="5"/>
        <v>2027</v>
      </c>
      <c r="C13" s="56">
        <f>Forecasting!C11</f>
        <v>59261.652499999997</v>
      </c>
      <c r="D13" s="56">
        <f t="shared" ref="D13:D16" si="6">(O7/365)*C13</f>
        <v>8767.4773561643833</v>
      </c>
      <c r="E13" s="56">
        <f t="shared" ref="E13:E16" si="7">(P7/365)*F13</f>
        <v>6015.4636304794512</v>
      </c>
      <c r="F13" s="56">
        <f>C13*Q7</f>
        <v>56298.569874999994</v>
      </c>
      <c r="G13" s="56">
        <f>Assumptions!D15</f>
        <v>54</v>
      </c>
      <c r="H13" s="56">
        <f>Assumptions!D16</f>
        <v>39</v>
      </c>
      <c r="I13" s="56">
        <f t="shared" si="3"/>
        <v>1181.772904109589</v>
      </c>
      <c r="J13" s="56">
        <f t="shared" si="4"/>
        <v>1074.3752989726017</v>
      </c>
      <c r="K13" s="56">
        <f t="shared" si="2"/>
        <v>2256.1482030821908</v>
      </c>
    </row>
    <row r="14" spans="1:17" x14ac:dyDescent="0.3">
      <c r="B14" s="61">
        <f t="shared" si="5"/>
        <v>2028</v>
      </c>
      <c r="C14" s="56">
        <f>Forecasting!C12</f>
        <v>68150.900374999997</v>
      </c>
      <c r="D14" s="56">
        <f t="shared" si="6"/>
        <v>9335.7397773972589</v>
      </c>
      <c r="E14" s="56">
        <f t="shared" si="7"/>
        <v>6726.2137948191776</v>
      </c>
      <c r="F14" s="56">
        <f>C14*Q8</f>
        <v>64607.053555499995</v>
      </c>
      <c r="G14" s="56">
        <f>Assumptions!E15</f>
        <v>50</v>
      </c>
      <c r="H14" s="56">
        <f>Assumptions!E16</f>
        <v>38</v>
      </c>
      <c r="I14" s="56">
        <f t="shared" si="3"/>
        <v>568.26242123287557</v>
      </c>
      <c r="J14" s="56">
        <f t="shared" si="4"/>
        <v>710.75016433972633</v>
      </c>
      <c r="K14" s="56">
        <f t="shared" si="2"/>
        <v>1279.0125855726019</v>
      </c>
    </row>
    <row r="15" spans="1:17" x14ac:dyDescent="0.3">
      <c r="B15" s="61">
        <f t="shared" si="5"/>
        <v>2029</v>
      </c>
      <c r="C15" s="56">
        <f>Forecasting!C13</f>
        <v>80418.062442499999</v>
      </c>
      <c r="D15" s="56">
        <f t="shared" si="6"/>
        <v>10355.202561089041</v>
      </c>
      <c r="E15" s="56">
        <f t="shared" si="7"/>
        <v>7928.5599864542592</v>
      </c>
      <c r="F15" s="56">
        <f>C15*Q9</f>
        <v>76155.90513304749</v>
      </c>
      <c r="G15" s="56">
        <f>Assumptions!F15</f>
        <v>47</v>
      </c>
      <c r="H15" s="56">
        <f>Assumptions!F16</f>
        <v>38</v>
      </c>
      <c r="I15" s="56">
        <f t="shared" si="3"/>
        <v>1019.4627836917825</v>
      </c>
      <c r="J15" s="56">
        <f t="shared" si="4"/>
        <v>1202.3461916350816</v>
      </c>
      <c r="K15" s="56">
        <f t="shared" si="2"/>
        <v>2221.8089753268641</v>
      </c>
    </row>
    <row r="16" spans="1:17" x14ac:dyDescent="0.3">
      <c r="B16" s="61">
        <f t="shared" si="5"/>
        <v>2030</v>
      </c>
      <c r="C16" s="56">
        <f>Forecasting!C14</f>
        <v>90068.2299356</v>
      </c>
      <c r="D16" s="56">
        <f t="shared" si="6"/>
        <v>10857.540047031232</v>
      </c>
      <c r="E16" s="56">
        <f t="shared" si="7"/>
        <v>8861.2332520202635</v>
      </c>
      <c r="F16" s="56">
        <f>C16*Q10</f>
        <v>85114.477289142</v>
      </c>
      <c r="G16" s="56">
        <f>Assumptions!G15</f>
        <v>44</v>
      </c>
      <c r="H16" s="56">
        <f>Assumptions!G16</f>
        <v>38</v>
      </c>
      <c r="I16" s="56">
        <f t="shared" si="3"/>
        <v>502.33748594219105</v>
      </c>
      <c r="J16" s="56">
        <f t="shared" si="4"/>
        <v>932.67326556600437</v>
      </c>
      <c r="K16" s="56">
        <f t="shared" si="2"/>
        <v>1435.0107515081954</v>
      </c>
    </row>
  </sheetData>
  <mergeCells count="2">
    <mergeCell ref="B4:K4"/>
    <mergeCell ref="N4:Q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1078-D0EF-49D7-9D9F-EE9E2C54C1A8}">
  <dimension ref="A1:L31"/>
  <sheetViews>
    <sheetView showGridLines="0" topLeftCell="A2" workbookViewId="0">
      <selection activeCell="O30" sqref="O30"/>
    </sheetView>
  </sheetViews>
  <sheetFormatPr defaultRowHeight="14.4" x14ac:dyDescent="0.3"/>
  <cols>
    <col min="1" max="1" width="1.88671875" customWidth="1"/>
    <col min="2" max="2" width="6.109375" bestFit="1" customWidth="1"/>
    <col min="3" max="3" width="8.33203125" bestFit="1" customWidth="1"/>
    <col min="4" max="5" width="11.6640625" bestFit="1" customWidth="1"/>
    <col min="6" max="6" width="8" bestFit="1" customWidth="1"/>
    <col min="7" max="7" width="8.109375" bestFit="1" customWidth="1"/>
    <col min="8" max="8" width="13.77734375" customWidth="1"/>
    <col min="10" max="10" width="6.109375" bestFit="1" customWidth="1"/>
    <col min="11" max="11" width="8.5546875" bestFit="1" customWidth="1"/>
    <col min="12" max="13" width="11.6640625" bestFit="1" customWidth="1"/>
    <col min="14" max="14" width="8" bestFit="1" customWidth="1"/>
    <col min="15" max="15" width="6.5546875" bestFit="1" customWidth="1"/>
    <col min="16" max="18" width="14.77734375" bestFit="1" customWidth="1"/>
    <col min="19" max="19" width="12" bestFit="1" customWidth="1"/>
  </cols>
  <sheetData>
    <row r="1" spans="1:12" x14ac:dyDescent="0.3">
      <c r="A1" s="34"/>
    </row>
    <row r="3" spans="1:12" x14ac:dyDescent="0.3">
      <c r="A3" t="s">
        <v>58</v>
      </c>
      <c r="B3" s="101" t="s">
        <v>143</v>
      </c>
      <c r="C3" s="101"/>
      <c r="D3" s="101"/>
      <c r="E3" s="101"/>
      <c r="F3" s="101"/>
      <c r="I3" s="101" t="s">
        <v>153</v>
      </c>
      <c r="J3" s="101"/>
      <c r="K3" s="101"/>
      <c r="L3" s="101"/>
    </row>
    <row r="4" spans="1:12" x14ac:dyDescent="0.3">
      <c r="B4" s="66" t="s">
        <v>123</v>
      </c>
      <c r="C4" s="66" t="s">
        <v>201</v>
      </c>
      <c r="D4" s="66" t="s">
        <v>21</v>
      </c>
      <c r="E4" s="66" t="s">
        <v>144</v>
      </c>
      <c r="F4" s="66" t="s">
        <v>151</v>
      </c>
      <c r="I4" s="67"/>
      <c r="J4" s="66" t="s">
        <v>152</v>
      </c>
      <c r="K4" s="66" t="s">
        <v>148</v>
      </c>
      <c r="L4" s="66" t="s">
        <v>149</v>
      </c>
    </row>
    <row r="5" spans="1:12" x14ac:dyDescent="0.3">
      <c r="B5" s="64">
        <f>Forecasting!B18</f>
        <v>2020</v>
      </c>
      <c r="C5" s="56">
        <f>Forecasting!G18</f>
        <v>143.47500000000059</v>
      </c>
      <c r="D5" s="56">
        <f>Forecasting!E18</f>
        <v>36.53</v>
      </c>
      <c r="E5" s="56">
        <f>WC!K6</f>
        <v>0</v>
      </c>
      <c r="F5" s="56">
        <f>C5+D5-E5</f>
        <v>180.00500000000059</v>
      </c>
      <c r="I5" s="90">
        <f>B11</f>
        <v>2026</v>
      </c>
      <c r="J5" s="88">
        <f>Assumptions!C10</f>
        <v>0.25</v>
      </c>
      <c r="K5" s="88">
        <f>Assumptions!C12</f>
        <v>8.0000000000000002E-3</v>
      </c>
      <c r="L5" s="88">
        <f>Assumptions!C13</f>
        <v>0.02</v>
      </c>
    </row>
    <row r="6" spans="1:12" x14ac:dyDescent="0.3">
      <c r="B6" s="64">
        <f>Forecasting!B19</f>
        <v>2021</v>
      </c>
      <c r="C6" s="56">
        <f>Forecasting!G19</f>
        <v>186.35999999999953</v>
      </c>
      <c r="D6" s="56">
        <f>Forecasting!E19</f>
        <v>43.72</v>
      </c>
      <c r="E6" s="56">
        <f>WC!K7</f>
        <v>819.34999999999991</v>
      </c>
      <c r="F6" s="56">
        <f t="shared" ref="F6:F15" si="0">C6+D6-E6</f>
        <v>-589.27000000000044</v>
      </c>
      <c r="I6" s="90">
        <f t="shared" ref="I6:I9" si="1">B12</f>
        <v>2027</v>
      </c>
      <c r="J6" s="88">
        <f>Assumptions!D10</f>
        <v>0.25</v>
      </c>
      <c r="K6" s="88">
        <f>Assumptions!D12</f>
        <v>8.0000000000000002E-3</v>
      </c>
      <c r="L6" s="88">
        <f>Assumptions!D13</f>
        <v>1.7999999999999999E-2</v>
      </c>
    </row>
    <row r="7" spans="1:12" x14ac:dyDescent="0.3">
      <c r="B7" s="64">
        <f>Forecasting!B20</f>
        <v>2022</v>
      </c>
      <c r="C7" s="56">
        <f>Forecasting!G20</f>
        <v>225.26250000000073</v>
      </c>
      <c r="D7" s="56">
        <f>Forecasting!E20</f>
        <v>83.95</v>
      </c>
      <c r="E7" s="56">
        <f>WC!K8</f>
        <v>679.73</v>
      </c>
      <c r="F7" s="56">
        <f t="shared" si="0"/>
        <v>-370.5174999999993</v>
      </c>
      <c r="I7" s="90">
        <f t="shared" si="1"/>
        <v>2028</v>
      </c>
      <c r="J7" s="88">
        <f>Assumptions!E10</f>
        <v>0.25</v>
      </c>
      <c r="K7" s="88">
        <f>Assumptions!E12</f>
        <v>8.0000000000000002E-3</v>
      </c>
      <c r="L7" s="88">
        <f>Assumptions!E13</f>
        <v>1.4999999999999999E-2</v>
      </c>
    </row>
    <row r="8" spans="1:12" x14ac:dyDescent="0.3">
      <c r="B8" s="64">
        <f>Forecasting!B21</f>
        <v>2023</v>
      </c>
      <c r="C8" s="56">
        <f>Forecasting!G21</f>
        <v>303.61500000000035</v>
      </c>
      <c r="D8" s="56">
        <f>Forecasting!E21</f>
        <v>114.63</v>
      </c>
      <c r="E8" s="56">
        <f>WC!K9</f>
        <v>161.28000000000009</v>
      </c>
      <c r="F8" s="56">
        <f t="shared" si="0"/>
        <v>256.96500000000026</v>
      </c>
      <c r="I8" s="90">
        <f t="shared" si="1"/>
        <v>2029</v>
      </c>
      <c r="J8" s="88">
        <f>Assumptions!F10</f>
        <v>0.25</v>
      </c>
      <c r="K8" s="88">
        <f>Assumptions!F12</f>
        <v>8.0000000000000002E-3</v>
      </c>
      <c r="L8" s="88">
        <f>Assumptions!F13</f>
        <v>1.2999999999999999E-2</v>
      </c>
    </row>
    <row r="9" spans="1:12" x14ac:dyDescent="0.3">
      <c r="B9" s="64">
        <f>Forecasting!B22</f>
        <v>2024</v>
      </c>
      <c r="C9" s="56">
        <f>Forecasting!G22</f>
        <v>407.37750000000023</v>
      </c>
      <c r="D9" s="56">
        <f>Forecasting!E22</f>
        <v>161.88</v>
      </c>
      <c r="E9" s="56">
        <f>WC!K10</f>
        <v>1339.5700000000002</v>
      </c>
      <c r="F9" s="56">
        <f t="shared" si="0"/>
        <v>-770.3125</v>
      </c>
      <c r="I9" s="90">
        <f t="shared" si="1"/>
        <v>2030</v>
      </c>
      <c r="J9" s="88">
        <f>Assumptions!G10</f>
        <v>0.25</v>
      </c>
      <c r="K9" s="88">
        <f>Assumptions!G12</f>
        <v>8.0000000000000002E-3</v>
      </c>
      <c r="L9" s="88">
        <f>Assumptions!G13</f>
        <v>1.2E-2</v>
      </c>
    </row>
    <row r="10" spans="1:12" x14ac:dyDescent="0.3">
      <c r="B10" s="64">
        <f>Forecasting!B23</f>
        <v>2025</v>
      </c>
      <c r="C10" s="56">
        <f>Forecasting!G23</f>
        <v>925.37250000000063</v>
      </c>
      <c r="D10" s="56">
        <f>Forecasting!E23</f>
        <v>281.02</v>
      </c>
      <c r="E10" s="56">
        <f>WC!K11</f>
        <v>6944.96</v>
      </c>
      <c r="F10" s="56">
        <f t="shared" si="0"/>
        <v>-5738.5674999999992</v>
      </c>
      <c r="J10" s="59"/>
    </row>
    <row r="11" spans="1:12" x14ac:dyDescent="0.3">
      <c r="B11" s="62">
        <f>Forecasting!B24</f>
        <v>2026</v>
      </c>
      <c r="C11" s="56">
        <f>Forecasting!G24</f>
        <v>1347.9597187499999</v>
      </c>
      <c r="D11" s="56">
        <f>Forecasting!E24</f>
        <v>388.601</v>
      </c>
      <c r="E11" s="56">
        <f>WC!K12</f>
        <v>1568.9427835616439</v>
      </c>
      <c r="F11" s="56">
        <f t="shared" si="0"/>
        <v>167.61793518835611</v>
      </c>
    </row>
    <row r="12" spans="1:12" x14ac:dyDescent="0.3">
      <c r="B12" s="62">
        <f>Forecasting!B25</f>
        <v>2027</v>
      </c>
      <c r="C12" s="56">
        <f>Forecasting!G25</f>
        <v>1866.7420537500002</v>
      </c>
      <c r="D12" s="56">
        <f>Forecasting!E25</f>
        <v>474.09321999999997</v>
      </c>
      <c r="E12" s="56">
        <f>WC!K13</f>
        <v>2256.1482030821908</v>
      </c>
      <c r="F12" s="56">
        <f t="shared" si="0"/>
        <v>84.687070667809166</v>
      </c>
    </row>
    <row r="13" spans="1:12" x14ac:dyDescent="0.3">
      <c r="B13" s="62">
        <f>Forecasting!B26</f>
        <v>2028</v>
      </c>
      <c r="C13" s="56">
        <f>Forecasting!G26</f>
        <v>2606.7719393437501</v>
      </c>
      <c r="D13" s="56">
        <f>Forecasting!E26</f>
        <v>545.20720299999994</v>
      </c>
      <c r="E13" s="56">
        <f>WC!K14</f>
        <v>1279.0125855726019</v>
      </c>
      <c r="F13" s="56">
        <f t="shared" si="0"/>
        <v>1872.9665567711481</v>
      </c>
    </row>
    <row r="14" spans="1:12" x14ac:dyDescent="0.3">
      <c r="B14" s="62">
        <f>Forecasting!B27</f>
        <v>2029</v>
      </c>
      <c r="C14" s="56">
        <f>Forecasting!G27</f>
        <v>3618.8128099125006</v>
      </c>
      <c r="D14" s="56">
        <f>Forecasting!E27</f>
        <v>643.34449954000002</v>
      </c>
      <c r="E14" s="56">
        <f>WC!K15</f>
        <v>2221.8089753268641</v>
      </c>
      <c r="F14" s="56">
        <f t="shared" si="0"/>
        <v>2040.3483341256369</v>
      </c>
    </row>
    <row r="15" spans="1:12" x14ac:dyDescent="0.3">
      <c r="B15" s="62">
        <f>Forecasting!B28</f>
        <v>2030</v>
      </c>
      <c r="C15" s="56">
        <f>Forecasting!G28</f>
        <v>4525.9285542638991</v>
      </c>
      <c r="D15" s="56">
        <f>Forecasting!E28</f>
        <v>720.54583948480001</v>
      </c>
      <c r="E15" s="56">
        <f>WC!K16</f>
        <v>1435.0107515081954</v>
      </c>
      <c r="F15" s="56">
        <f t="shared" si="0"/>
        <v>3811.4636422405038</v>
      </c>
    </row>
    <row r="16" spans="1:12" x14ac:dyDescent="0.3">
      <c r="F16" s="56"/>
    </row>
    <row r="17" spans="1:7" x14ac:dyDescent="0.3">
      <c r="A17" t="s">
        <v>58</v>
      </c>
      <c r="B17" s="101" t="s">
        <v>147</v>
      </c>
      <c r="C17" s="101"/>
      <c r="D17" s="101"/>
      <c r="E17" s="101"/>
      <c r="F17" s="101"/>
      <c r="G17" s="101"/>
    </row>
    <row r="18" spans="1:7" x14ac:dyDescent="0.3">
      <c r="B18" s="66" t="s">
        <v>123</v>
      </c>
      <c r="C18" s="66" t="s">
        <v>137</v>
      </c>
      <c r="D18" s="66" t="s">
        <v>148</v>
      </c>
      <c r="E18" s="66" t="s">
        <v>21</v>
      </c>
      <c r="F18" s="66" t="s">
        <v>149</v>
      </c>
      <c r="G18" s="66" t="s">
        <v>150</v>
      </c>
    </row>
    <row r="19" spans="1:7" x14ac:dyDescent="0.3">
      <c r="B19" s="62">
        <f>Forecasting!B10</f>
        <v>2026</v>
      </c>
      <c r="C19" s="56">
        <f>Forecasting!C10</f>
        <v>48575.125</v>
      </c>
      <c r="D19" s="70">
        <f>K5</f>
        <v>8.0000000000000002E-3</v>
      </c>
      <c r="E19" s="56">
        <f>C19*D19</f>
        <v>388.601</v>
      </c>
      <c r="F19" s="70">
        <f>L5</f>
        <v>0.02</v>
      </c>
      <c r="G19" s="56">
        <f>C19*F19</f>
        <v>971.50250000000005</v>
      </c>
    </row>
    <row r="20" spans="1:7" x14ac:dyDescent="0.3">
      <c r="B20" s="62">
        <f>Forecasting!B11</f>
        <v>2027</v>
      </c>
      <c r="C20" s="56">
        <f>Forecasting!C11</f>
        <v>59261.652499999997</v>
      </c>
      <c r="D20" s="70">
        <f>K6</f>
        <v>8.0000000000000002E-3</v>
      </c>
      <c r="E20" s="56">
        <f>C20*D20</f>
        <v>474.09321999999997</v>
      </c>
      <c r="F20" s="70">
        <f>L6</f>
        <v>1.7999999999999999E-2</v>
      </c>
      <c r="G20" s="56">
        <f>C20*F20</f>
        <v>1066.7097449999999</v>
      </c>
    </row>
    <row r="21" spans="1:7" x14ac:dyDescent="0.3">
      <c r="B21" s="62">
        <f>Forecasting!B12</f>
        <v>2028</v>
      </c>
      <c r="C21" s="56">
        <f>Forecasting!C12</f>
        <v>68150.900374999997</v>
      </c>
      <c r="D21" s="70">
        <f>K7</f>
        <v>8.0000000000000002E-3</v>
      </c>
      <c r="E21" s="56">
        <f>C21*D21</f>
        <v>545.20720299999994</v>
      </c>
      <c r="F21" s="70">
        <f>L7</f>
        <v>1.4999999999999999E-2</v>
      </c>
      <c r="G21" s="56">
        <f>C21*F21</f>
        <v>1022.2635056249999</v>
      </c>
    </row>
    <row r="22" spans="1:7" x14ac:dyDescent="0.3">
      <c r="B22" s="62">
        <f>Forecasting!B13</f>
        <v>2029</v>
      </c>
      <c r="C22" s="56">
        <f>Forecasting!C13</f>
        <v>80418.062442499999</v>
      </c>
      <c r="D22" s="70">
        <f>K8</f>
        <v>8.0000000000000002E-3</v>
      </c>
      <c r="E22" s="56">
        <f>C22*D22</f>
        <v>643.34449954000002</v>
      </c>
      <c r="F22" s="70">
        <f>L8</f>
        <v>1.2999999999999999E-2</v>
      </c>
      <c r="G22" s="56">
        <f>C22*F22</f>
        <v>1045.4348117524999</v>
      </c>
    </row>
    <row r="23" spans="1:7" x14ac:dyDescent="0.3">
      <c r="B23" s="62">
        <f>Forecasting!B14</f>
        <v>2030</v>
      </c>
      <c r="C23" s="56">
        <f>Forecasting!C14</f>
        <v>90068.2299356</v>
      </c>
      <c r="D23" s="70">
        <f>K9</f>
        <v>8.0000000000000002E-3</v>
      </c>
      <c r="E23" s="56">
        <f>C23*D23</f>
        <v>720.54583948480001</v>
      </c>
      <c r="F23" s="70">
        <f>L9</f>
        <v>1.2E-2</v>
      </c>
      <c r="G23" s="56">
        <f>C23*F23</f>
        <v>1080.8187592272</v>
      </c>
    </row>
    <row r="25" spans="1:7" x14ac:dyDescent="0.3">
      <c r="A25" t="s">
        <v>58</v>
      </c>
      <c r="B25" s="101" t="s">
        <v>202</v>
      </c>
      <c r="C25" s="101"/>
      <c r="D25" s="101"/>
      <c r="E25" s="101"/>
    </row>
    <row r="26" spans="1:7" x14ac:dyDescent="0.3">
      <c r="B26" s="66" t="s">
        <v>123</v>
      </c>
      <c r="C26" s="66" t="s">
        <v>145</v>
      </c>
      <c r="D26" s="66" t="s">
        <v>154</v>
      </c>
      <c r="E26" s="66" t="s">
        <v>155</v>
      </c>
    </row>
    <row r="27" spans="1:7" x14ac:dyDescent="0.3">
      <c r="B27" s="62">
        <f>B19</f>
        <v>2026</v>
      </c>
      <c r="C27" s="56">
        <f>F11</f>
        <v>167.61793518835611</v>
      </c>
      <c r="D27" s="56">
        <f>G19</f>
        <v>971.50250000000005</v>
      </c>
      <c r="E27" s="56">
        <f>C27-D27</f>
        <v>-803.88456481164394</v>
      </c>
    </row>
    <row r="28" spans="1:7" x14ac:dyDescent="0.3">
      <c r="B28" s="62">
        <f t="shared" ref="B28:B31" si="2">B20</f>
        <v>2027</v>
      </c>
      <c r="C28" s="56">
        <f t="shared" ref="C28:C31" si="3">F12</f>
        <v>84.687070667809166</v>
      </c>
      <c r="D28" s="56">
        <f>G20</f>
        <v>1066.7097449999999</v>
      </c>
      <c r="E28" s="56">
        <f>C28-D28</f>
        <v>-982.02267433219072</v>
      </c>
    </row>
    <row r="29" spans="1:7" x14ac:dyDescent="0.3">
      <c r="B29" s="62">
        <f t="shared" si="2"/>
        <v>2028</v>
      </c>
      <c r="C29" s="56">
        <f t="shared" si="3"/>
        <v>1872.9665567711481</v>
      </c>
      <c r="D29" s="56">
        <f>G21</f>
        <v>1022.2635056249999</v>
      </c>
      <c r="E29" s="56">
        <f>C29-D29</f>
        <v>850.70305114614825</v>
      </c>
    </row>
    <row r="30" spans="1:7" x14ac:dyDescent="0.3">
      <c r="B30" s="62">
        <f t="shared" si="2"/>
        <v>2029</v>
      </c>
      <c r="C30" s="56">
        <f t="shared" si="3"/>
        <v>2040.3483341256369</v>
      </c>
      <c r="D30" s="56">
        <f>G22</f>
        <v>1045.4348117524999</v>
      </c>
      <c r="E30" s="56">
        <f>C30-D30</f>
        <v>994.91352237313708</v>
      </c>
    </row>
    <row r="31" spans="1:7" x14ac:dyDescent="0.3">
      <c r="B31" s="62">
        <f t="shared" si="2"/>
        <v>2030</v>
      </c>
      <c r="C31" s="56">
        <f t="shared" si="3"/>
        <v>3811.4636422405038</v>
      </c>
      <c r="D31" s="56">
        <f>G23</f>
        <v>1080.8187592272</v>
      </c>
      <c r="E31" s="56">
        <f>C31-D31</f>
        <v>2730.644883013304</v>
      </c>
    </row>
  </sheetData>
  <mergeCells count="4">
    <mergeCell ref="I3:L3"/>
    <mergeCell ref="B17:G17"/>
    <mergeCell ref="B3:F3"/>
    <mergeCell ref="B25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07B0-2D5E-472F-83E6-4D40FF05FDEF}">
  <dimension ref="A3:S31"/>
  <sheetViews>
    <sheetView showGridLines="0" workbookViewId="0">
      <selection activeCell="I31" sqref="I31"/>
    </sheetView>
  </sheetViews>
  <sheetFormatPr defaultRowHeight="14.4" x14ac:dyDescent="0.3"/>
  <cols>
    <col min="1" max="1" width="1.88671875" customWidth="1"/>
    <col min="2" max="2" width="5" bestFit="1" customWidth="1"/>
    <col min="3" max="3" width="2.33203125" bestFit="1" customWidth="1"/>
    <col min="4" max="4" width="20.109375" bestFit="1" customWidth="1"/>
    <col min="5" max="5" width="17.21875" bestFit="1" customWidth="1"/>
    <col min="6" max="6" width="12.5546875" bestFit="1" customWidth="1"/>
    <col min="7" max="7" width="18.44140625" bestFit="1" customWidth="1"/>
    <col min="8" max="8" width="9.88671875" customWidth="1"/>
    <col min="9" max="9" width="7" bestFit="1" customWidth="1"/>
    <col min="10" max="10" width="14.77734375" bestFit="1" customWidth="1"/>
    <col min="11" max="11" width="8" bestFit="1" customWidth="1"/>
    <col min="12" max="13" width="7" bestFit="1" customWidth="1"/>
    <col min="14" max="14" width="11.44140625" bestFit="1" customWidth="1"/>
    <col min="15" max="15" width="6.21875" bestFit="1" customWidth="1"/>
  </cols>
  <sheetData>
    <row r="3" spans="1:16" x14ac:dyDescent="0.3">
      <c r="A3" t="s">
        <v>58</v>
      </c>
      <c r="B3" s="101" t="s">
        <v>156</v>
      </c>
      <c r="C3" s="101"/>
      <c r="D3" s="101"/>
      <c r="E3" s="101"/>
      <c r="F3" s="101"/>
    </row>
    <row r="4" spans="1:16" x14ac:dyDescent="0.3">
      <c r="B4" s="67" t="s">
        <v>123</v>
      </c>
      <c r="C4" s="67" t="s">
        <v>162</v>
      </c>
      <c r="D4" s="67" t="s">
        <v>158</v>
      </c>
      <c r="E4" s="68" t="s">
        <v>159</v>
      </c>
      <c r="F4" s="67" t="s">
        <v>157</v>
      </c>
      <c r="J4" s="101" t="s">
        <v>153</v>
      </c>
      <c r="K4" s="101"/>
      <c r="L4" s="11"/>
    </row>
    <row r="5" spans="1:16" x14ac:dyDescent="0.3">
      <c r="B5">
        <f>Forecasting!B10</f>
        <v>2026</v>
      </c>
      <c r="C5">
        <v>1</v>
      </c>
      <c r="D5" s="56">
        <f>'Projected CFS'!E27</f>
        <v>-803.88456481164394</v>
      </c>
      <c r="E5" s="13">
        <f>1/(1+DCF!$K$5)^C5</f>
        <v>0.88912598915266294</v>
      </c>
      <c r="F5" s="56">
        <f t="shared" ref="F5:F10" si="0">D5*E5</f>
        <v>-714.75465885271092</v>
      </c>
      <c r="J5" t="s">
        <v>160</v>
      </c>
      <c r="K5" s="88">
        <f>Assumptions!C27</f>
        <v>0.12470000000000002</v>
      </c>
    </row>
    <row r="6" spans="1:16" x14ac:dyDescent="0.3">
      <c r="B6">
        <f>Forecasting!B11</f>
        <v>2027</v>
      </c>
      <c r="C6">
        <v>2</v>
      </c>
      <c r="D6" s="56">
        <f>'Projected CFS'!E28</f>
        <v>-982.02267433219072</v>
      </c>
      <c r="E6" s="13">
        <f>1/(1+DCF!$K$5)^C6</f>
        <v>0.79054502458670117</v>
      </c>
      <c r="F6" s="56">
        <f t="shared" si="0"/>
        <v>-776.33313922463969</v>
      </c>
      <c r="J6" s="65" t="s">
        <v>161</v>
      </c>
      <c r="K6" s="88">
        <f>Assumptions!C29</f>
        <v>0.06</v>
      </c>
    </row>
    <row r="7" spans="1:16" x14ac:dyDescent="0.3">
      <c r="B7">
        <f>Forecasting!B12</f>
        <v>2028</v>
      </c>
      <c r="C7">
        <v>3</v>
      </c>
      <c r="D7" s="56">
        <f>'Projected CFS'!E29</f>
        <v>850.70305114614825</v>
      </c>
      <c r="E7" s="13">
        <f>1/(1+DCF!$K$5)^C7</f>
        <v>0.7028941269553669</v>
      </c>
      <c r="F7" s="56">
        <f t="shared" si="0"/>
        <v>597.95417843363873</v>
      </c>
      <c r="L7" s="59"/>
    </row>
    <row r="8" spans="1:16" x14ac:dyDescent="0.3">
      <c r="B8">
        <f>Forecasting!B13</f>
        <v>2029</v>
      </c>
      <c r="C8">
        <v>4</v>
      </c>
      <c r="D8" s="56">
        <f>'Projected CFS'!E30</f>
        <v>994.91352237313708</v>
      </c>
      <c r="E8" s="13">
        <f>1/(1+DCF!$K$5)^C8</f>
        <v>0.62496143589878805</v>
      </c>
      <c r="F8" s="56">
        <f t="shared" si="0"/>
        <v>621.78258353743672</v>
      </c>
      <c r="J8" t="s">
        <v>163</v>
      </c>
      <c r="K8" s="56">
        <f>(D9*(1+DCF!K6))/(DCF!K5-DCF!K6)</f>
        <v>44736.994992180858</v>
      </c>
      <c r="M8" s="62"/>
      <c r="N8" s="59"/>
      <c r="O8" s="59"/>
      <c r="P8" s="59"/>
    </row>
    <row r="9" spans="1:16" x14ac:dyDescent="0.3">
      <c r="B9">
        <f>Forecasting!B14</f>
        <v>2030</v>
      </c>
      <c r="C9">
        <v>5</v>
      </c>
      <c r="D9" s="56">
        <f>'Projected CFS'!E31</f>
        <v>2730.644883013304</v>
      </c>
      <c r="E9" s="13">
        <f>1/(1+DCF!$K$5)^C9</f>
        <v>0.55566945487577846</v>
      </c>
      <c r="F9" s="56">
        <f t="shared" si="0"/>
        <v>1517.3359536033365</v>
      </c>
      <c r="M9" s="62"/>
      <c r="N9" s="59"/>
      <c r="O9" s="59"/>
      <c r="P9" s="59"/>
    </row>
    <row r="10" spans="1:16" x14ac:dyDescent="0.3">
      <c r="B10" t="s">
        <v>164</v>
      </c>
      <c r="C10">
        <v>5</v>
      </c>
      <c r="D10" s="56">
        <f>K8</f>
        <v>44736.994992180858</v>
      </c>
      <c r="E10" s="13">
        <f>1/(1+DCF!$K$5)^C10</f>
        <v>0.55566945487577846</v>
      </c>
      <c r="F10" s="56">
        <f t="shared" si="0"/>
        <v>24858.981620085568</v>
      </c>
      <c r="M10" s="62"/>
      <c r="N10" s="59"/>
      <c r="O10" s="59"/>
      <c r="P10" s="59"/>
    </row>
    <row r="11" spans="1:16" x14ac:dyDescent="0.3">
      <c r="N11" s="59"/>
    </row>
    <row r="12" spans="1:16" x14ac:dyDescent="0.3">
      <c r="D12" s="104" t="s">
        <v>165</v>
      </c>
      <c r="E12" s="104"/>
      <c r="F12" s="56">
        <f>SUM(F5:F10)</f>
        <v>26104.96653758263</v>
      </c>
    </row>
    <row r="16" spans="1:16" x14ac:dyDescent="0.3">
      <c r="A16" t="s">
        <v>58</v>
      </c>
      <c r="D16" s="101" t="s">
        <v>166</v>
      </c>
      <c r="E16" s="101"/>
      <c r="G16" s="101" t="s">
        <v>177</v>
      </c>
      <c r="H16" s="101"/>
      <c r="I16" s="101"/>
      <c r="J16" s="101"/>
      <c r="K16" s="101"/>
      <c r="L16" s="101"/>
      <c r="M16" s="101"/>
    </row>
    <row r="17" spans="4:19" x14ac:dyDescent="0.3">
      <c r="D17" s="66" t="s">
        <v>167</v>
      </c>
      <c r="E17" s="66" t="s">
        <v>168</v>
      </c>
      <c r="G17" s="105" t="s">
        <v>184</v>
      </c>
      <c r="H17" s="105"/>
      <c r="I17" s="100" t="s">
        <v>175</v>
      </c>
      <c r="J17" s="100"/>
      <c r="K17" s="100"/>
      <c r="L17" s="100"/>
      <c r="M17" s="100"/>
    </row>
    <row r="18" spans="4:19" x14ac:dyDescent="0.3">
      <c r="D18" s="75" t="s">
        <v>170</v>
      </c>
      <c r="E18" s="56">
        <f>F12</f>
        <v>26104.96653758263</v>
      </c>
      <c r="G18" s="102" t="s">
        <v>176</v>
      </c>
      <c r="H18" s="80">
        <f>E23</f>
        <v>4268.6937770070817</v>
      </c>
      <c r="I18" s="79">
        <v>0.115</v>
      </c>
      <c r="J18" s="79">
        <v>0.12</v>
      </c>
      <c r="K18" s="82">
        <v>0.125</v>
      </c>
      <c r="L18" s="79">
        <v>0.13</v>
      </c>
      <c r="M18" s="79">
        <v>0.13500000000000001</v>
      </c>
    </row>
    <row r="19" spans="4:19" ht="14.4" customHeight="1" x14ac:dyDescent="0.3">
      <c r="D19" s="75" t="s">
        <v>171</v>
      </c>
      <c r="E19" s="56">
        <f>HistoricalFS!H53-HistoricalFS!H65</f>
        <v>407.43000000000006</v>
      </c>
      <c r="G19" s="103"/>
      <c r="H19" s="78">
        <v>0.05</v>
      </c>
      <c r="I19" s="56">
        <f t="dataTable" ref="I19:M23" dt2D="1" dtr="1" r1="K5" r2="K6"/>
        <v>4405.1963268256395</v>
      </c>
      <c r="J19" s="56">
        <v>4006.7794784047423</v>
      </c>
      <c r="K19" s="56">
        <v>3662.8556668689298</v>
      </c>
      <c r="L19" s="56">
        <v>3363.1768240229139</v>
      </c>
      <c r="M19" s="56">
        <v>3099.907019612117</v>
      </c>
      <c r="P19" s="66" t="s">
        <v>178</v>
      </c>
      <c r="Q19" s="66" t="s">
        <v>160</v>
      </c>
      <c r="R19" s="66" t="s">
        <v>179</v>
      </c>
      <c r="S19" s="66" t="s">
        <v>180</v>
      </c>
    </row>
    <row r="20" spans="4:19" x14ac:dyDescent="0.3">
      <c r="D20" s="75" t="s">
        <v>172</v>
      </c>
      <c r="E20" s="56">
        <f>E18-E19</f>
        <v>25697.53653758263</v>
      </c>
      <c r="G20" s="103"/>
      <c r="H20" s="87">
        <v>5.5E-2</v>
      </c>
      <c r="I20" s="56">
        <v>4781.4447260484349</v>
      </c>
      <c r="J20" s="56">
        <v>4323.557651684031</v>
      </c>
      <c r="K20" s="56">
        <v>3932.5484619042809</v>
      </c>
      <c r="L20" s="56">
        <v>3595.0090008493139</v>
      </c>
      <c r="M20" s="56">
        <v>3300.8840285986171</v>
      </c>
      <c r="P20" t="s">
        <v>181</v>
      </c>
      <c r="Q20" s="25">
        <f>M18</f>
        <v>0.13500000000000001</v>
      </c>
      <c r="R20" s="25">
        <f>H19</f>
        <v>0.05</v>
      </c>
      <c r="S20" s="56">
        <f>M19</f>
        <v>3099.907019612117</v>
      </c>
    </row>
    <row r="21" spans="4:19" x14ac:dyDescent="0.3">
      <c r="D21" s="75" t="s">
        <v>173</v>
      </c>
      <c r="E21" s="76">
        <f>HistoricalFS!H37</f>
        <v>6.02</v>
      </c>
      <c r="G21" s="103"/>
      <c r="H21" s="81">
        <v>0.06</v>
      </c>
      <c r="I21" s="56">
        <v>5226.1019251299194</v>
      </c>
      <c r="J21" s="56">
        <v>4693.1321871765349</v>
      </c>
      <c r="K21" s="83">
        <v>4243.7324561758405</v>
      </c>
      <c r="L21" s="56">
        <v>3859.9600600794865</v>
      </c>
      <c r="M21" s="56">
        <v>3528.6579721166513</v>
      </c>
      <c r="P21" s="43" t="s">
        <v>182</v>
      </c>
      <c r="Q21" s="84">
        <f>K18</f>
        <v>0.125</v>
      </c>
      <c r="R21" s="84">
        <f>H21</f>
        <v>0.06</v>
      </c>
      <c r="S21" s="85">
        <f>K21</f>
        <v>4243.7324561758405</v>
      </c>
    </row>
    <row r="22" spans="4:19" x14ac:dyDescent="0.3">
      <c r="E22" s="56"/>
      <c r="G22" s="103"/>
      <c r="H22" s="78">
        <v>6.5000000000000002E-2</v>
      </c>
      <c r="I22" s="56">
        <v>5759.6905640277037</v>
      </c>
      <c r="J22" s="56">
        <v>5129.9020927585843</v>
      </c>
      <c r="K22" s="56">
        <v>4606.7804494926595</v>
      </c>
      <c r="L22" s="56">
        <v>4165.6728207296856</v>
      </c>
      <c r="M22" s="56">
        <v>3788.9710504229752</v>
      </c>
      <c r="P22" t="s">
        <v>183</v>
      </c>
      <c r="Q22" s="25">
        <f>I18</f>
        <v>0.115</v>
      </c>
      <c r="R22" s="25">
        <f>H23</f>
        <v>7.0000000000000007E-2</v>
      </c>
      <c r="S22" s="56">
        <f>I23</f>
        <v>6411.8544560138835</v>
      </c>
    </row>
    <row r="23" spans="4:19" x14ac:dyDescent="0.3">
      <c r="D23" t="s">
        <v>169</v>
      </c>
      <c r="E23" s="56">
        <f>E20/E21</f>
        <v>4268.6937770070817</v>
      </c>
      <c r="G23" s="103"/>
      <c r="H23" s="86">
        <v>7.0000000000000007E-2</v>
      </c>
      <c r="I23" s="56">
        <v>6411.8544560138835</v>
      </c>
      <c r="J23" s="56">
        <v>5654.0259794570447</v>
      </c>
      <c r="K23" s="56">
        <v>5035.8371688670832</v>
      </c>
      <c r="L23" s="56">
        <v>4522.3377081549188</v>
      </c>
      <c r="M23" s="56">
        <v>4089.3322946225808</v>
      </c>
    </row>
    <row r="24" spans="4:19" x14ac:dyDescent="0.3">
      <c r="D24" s="75" t="s">
        <v>8</v>
      </c>
      <c r="E24">
        <f>'Data Sheet'!B8</f>
        <v>10334.299999999999</v>
      </c>
      <c r="G24" s="77"/>
    </row>
    <row r="26" spans="4:19" x14ac:dyDescent="0.3">
      <c r="D26" t="s">
        <v>174</v>
      </c>
      <c r="E26" s="65">
        <f>(E23-E24)/E24</f>
        <v>-0.58693924339267467</v>
      </c>
    </row>
    <row r="28" spans="4:19" x14ac:dyDescent="0.3">
      <c r="D28" t="s">
        <v>203</v>
      </c>
      <c r="E28" s="99">
        <f>K8/Forecasting!D28</f>
        <v>6.6226822375538212</v>
      </c>
    </row>
    <row r="31" spans="4:19" x14ac:dyDescent="0.3">
      <c r="H31" s="56"/>
    </row>
  </sheetData>
  <mergeCells count="8">
    <mergeCell ref="I17:M17"/>
    <mergeCell ref="G16:M16"/>
    <mergeCell ref="G18:G23"/>
    <mergeCell ref="D12:E12"/>
    <mergeCell ref="B3:F3"/>
    <mergeCell ref="J4:K4"/>
    <mergeCell ref="D16:E16"/>
    <mergeCell ref="G17:H17"/>
  </mergeCells>
  <conditionalFormatting sqref="I19:M23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sheetPr>
    <tabColor rgb="FFFF0000"/>
  </sheetPr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8" sqref="B8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 x14ac:dyDescent="0.25">
      <c r="A2" s="1" t="s">
        <v>2</v>
      </c>
      <c r="B2" s="2">
        <v>2.1</v>
      </c>
      <c r="E2" s="111" t="s">
        <v>3</v>
      </c>
      <c r="F2" s="111"/>
      <c r="G2" s="111"/>
      <c r="H2" s="111"/>
      <c r="I2" s="111"/>
      <c r="J2" s="111"/>
      <c r="K2" s="111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6.079742217663509</v>
      </c>
    </row>
    <row r="7" spans="1:11" x14ac:dyDescent="0.25">
      <c r="A7" s="2" t="s">
        <v>7</v>
      </c>
      <c r="B7" s="3">
        <v>2</v>
      </c>
    </row>
    <row r="8" spans="1:11" x14ac:dyDescent="0.25">
      <c r="A8" s="2" t="s">
        <v>8</v>
      </c>
      <c r="B8" s="3">
        <v>10334.299999999999</v>
      </c>
    </row>
    <row r="9" spans="1:11" x14ac:dyDescent="0.25">
      <c r="A9" s="2" t="s">
        <v>9</v>
      </c>
      <c r="B9" s="3">
        <v>62829.88</v>
      </c>
    </row>
    <row r="15" spans="1:11" x14ac:dyDescent="0.25">
      <c r="A15" s="1" t="s">
        <v>10</v>
      </c>
      <c r="B15" s="2">
        <f>B26+B34</f>
        <v>80.59</v>
      </c>
      <c r="K15" s="2">
        <f>K17-K18-K20-K21-K22-K23-K19</f>
        <v>1139.4100000000005</v>
      </c>
    </row>
    <row r="16" spans="1:11" s="6" customFormat="1" x14ac:dyDescent="0.25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25">
      <c r="A17" s="2" t="s">
        <v>12</v>
      </c>
      <c r="B17" s="3">
        <v>1389.42</v>
      </c>
      <c r="C17" s="3">
        <v>2457.0300000000002</v>
      </c>
      <c r="D17" s="3">
        <v>2841.63</v>
      </c>
      <c r="E17" s="3">
        <v>2984.45</v>
      </c>
      <c r="F17" s="3">
        <v>4400.12</v>
      </c>
      <c r="G17" s="3">
        <v>6448.17</v>
      </c>
      <c r="H17" s="3">
        <v>10697.08</v>
      </c>
      <c r="I17" s="3">
        <v>12192.01</v>
      </c>
      <c r="J17" s="3">
        <v>17690.900000000001</v>
      </c>
      <c r="K17" s="3">
        <v>38860.1</v>
      </c>
    </row>
    <row r="18" spans="1:11" ht="14.4" x14ac:dyDescent="0.3">
      <c r="A18" s="2" t="s">
        <v>13</v>
      </c>
      <c r="B18" s="7">
        <v>1228.44</v>
      </c>
      <c r="C18" s="7">
        <v>2205.61</v>
      </c>
      <c r="D18" s="7">
        <v>2545.36</v>
      </c>
      <c r="E18" s="7">
        <v>2594.61</v>
      </c>
      <c r="F18" s="7">
        <v>3913.34</v>
      </c>
      <c r="G18" s="7">
        <v>5753.41</v>
      </c>
      <c r="H18" s="7">
        <v>9889.66</v>
      </c>
      <c r="I18" s="7">
        <v>11015.17</v>
      </c>
      <c r="J18" s="7">
        <v>16142.42</v>
      </c>
      <c r="K18" s="7">
        <v>36099.81</v>
      </c>
    </row>
    <row r="19" spans="1:11" ht="14.4" x14ac:dyDescent="0.3">
      <c r="A19" s="2" t="s">
        <v>14</v>
      </c>
      <c r="B19" s="7">
        <v>16.13</v>
      </c>
      <c r="C19" s="7">
        <v>25.53</v>
      </c>
      <c r="D19" s="7">
        <v>34.979999999999997</v>
      </c>
      <c r="E19" s="7">
        <v>-14.66</v>
      </c>
      <c r="F19" s="7">
        <v>53.14</v>
      </c>
      <c r="G19" s="7">
        <v>-16.309999999999999</v>
      </c>
      <c r="H19" s="7">
        <v>110.42</v>
      </c>
      <c r="I19" s="7">
        <v>-5.57</v>
      </c>
      <c r="J19" s="7">
        <v>103.47</v>
      </c>
      <c r="K19" s="7">
        <v>266.99</v>
      </c>
    </row>
    <row r="20" spans="1:11" x14ac:dyDescent="0.25">
      <c r="A20" s="2" t="s">
        <v>15</v>
      </c>
      <c r="B20" s="3">
        <v>8.68</v>
      </c>
      <c r="C20" s="3">
        <v>10.97</v>
      </c>
      <c r="D20" s="3">
        <v>14.47</v>
      </c>
      <c r="E20" s="3">
        <v>18.38</v>
      </c>
      <c r="F20" s="3">
        <v>22.2</v>
      </c>
      <c r="G20" s="3">
        <v>26.39</v>
      </c>
      <c r="H20" s="3">
        <v>40.409999999999997</v>
      </c>
      <c r="I20" s="3">
        <v>47.33</v>
      </c>
      <c r="J20" s="3">
        <v>65.790000000000006</v>
      </c>
      <c r="K20" s="3">
        <v>102.15</v>
      </c>
    </row>
    <row r="21" spans="1:11" x14ac:dyDescent="0.25">
      <c r="A21" s="2" t="s">
        <v>16</v>
      </c>
      <c r="B21" s="3">
        <v>35.950000000000003</v>
      </c>
      <c r="C21" s="3">
        <v>76.38</v>
      </c>
      <c r="D21" s="3">
        <v>96.65</v>
      </c>
      <c r="E21" s="3">
        <v>90.4</v>
      </c>
      <c r="F21" s="3">
        <v>119.35</v>
      </c>
      <c r="G21" s="3">
        <v>149.63999999999999</v>
      </c>
      <c r="H21" s="3">
        <v>207.65</v>
      </c>
      <c r="I21" s="3">
        <v>246.31</v>
      </c>
      <c r="J21" s="3">
        <v>417.12</v>
      </c>
      <c r="K21" s="3">
        <v>613.49</v>
      </c>
    </row>
    <row r="22" spans="1:11" x14ac:dyDescent="0.25">
      <c r="A22" s="2" t="s">
        <v>17</v>
      </c>
      <c r="B22" s="3">
        <v>54.96</v>
      </c>
      <c r="C22" s="3">
        <v>63.91</v>
      </c>
      <c r="D22" s="3">
        <v>72.75</v>
      </c>
      <c r="E22" s="3">
        <v>83.87</v>
      </c>
      <c r="F22" s="3">
        <v>117.96</v>
      </c>
      <c r="G22" s="3">
        <v>137.19999999999999</v>
      </c>
      <c r="H22" s="3">
        <v>198.07</v>
      </c>
      <c r="I22" s="3">
        <v>251.94</v>
      </c>
      <c r="J22" s="3">
        <v>332.86</v>
      </c>
      <c r="K22" s="3">
        <v>567.85</v>
      </c>
    </row>
    <row r="23" spans="1:11" x14ac:dyDescent="0.25">
      <c r="A23" s="2" t="s">
        <v>18</v>
      </c>
      <c r="B23" s="3">
        <v>7.67</v>
      </c>
      <c r="C23" s="3">
        <v>20.27</v>
      </c>
      <c r="D23" s="3">
        <v>18.72</v>
      </c>
      <c r="E23" s="3">
        <v>24.82</v>
      </c>
      <c r="F23" s="3">
        <v>22.98</v>
      </c>
      <c r="G23" s="3">
        <v>36.89</v>
      </c>
      <c r="H23" s="3">
        <v>45.57</v>
      </c>
      <c r="I23" s="3">
        <v>50.32</v>
      </c>
      <c r="J23" s="3">
        <v>54.75</v>
      </c>
      <c r="K23" s="3">
        <v>70.400000000000006</v>
      </c>
    </row>
    <row r="24" spans="1:11" x14ac:dyDescent="0.25">
      <c r="A24" s="2" t="s">
        <v>19</v>
      </c>
      <c r="B24" s="3">
        <v>20.53</v>
      </c>
      <c r="C24" s="3">
        <v>13.64</v>
      </c>
      <c r="D24" s="3">
        <v>15.78</v>
      </c>
      <c r="E24" s="3">
        <v>21.55</v>
      </c>
      <c r="F24" s="3">
        <v>29.6</v>
      </c>
      <c r="G24" s="3">
        <v>36.130000000000003</v>
      </c>
      <c r="H24" s="3">
        <v>41.84</v>
      </c>
      <c r="I24" s="3">
        <v>55.92</v>
      </c>
      <c r="J24" s="3">
        <v>76.38</v>
      </c>
      <c r="K24" s="3">
        <v>158.54</v>
      </c>
    </row>
    <row r="25" spans="1:11" x14ac:dyDescent="0.25">
      <c r="A25" s="2" t="s">
        <v>20</v>
      </c>
      <c r="B25" s="3">
        <v>22.83</v>
      </c>
      <c r="C25" s="3">
        <v>0.86</v>
      </c>
      <c r="D25" s="3">
        <v>3.98</v>
      </c>
      <c r="E25" s="3">
        <v>5.63</v>
      </c>
      <c r="F25" s="3">
        <v>4.9000000000000004</v>
      </c>
      <c r="G25" s="3">
        <v>1.25</v>
      </c>
      <c r="H25" s="3">
        <v>3.76</v>
      </c>
      <c r="I25" s="3">
        <v>4.03</v>
      </c>
      <c r="J25" s="3">
        <v>31.62</v>
      </c>
      <c r="K25" s="3">
        <v>497.49</v>
      </c>
    </row>
    <row r="26" spans="1:11" x14ac:dyDescent="0.25">
      <c r="A26" s="2" t="s">
        <v>21</v>
      </c>
      <c r="B26" s="3">
        <v>8.44</v>
      </c>
      <c r="C26" s="3">
        <v>10.71</v>
      </c>
      <c r="D26" s="3">
        <v>15.18</v>
      </c>
      <c r="E26" s="3">
        <v>21.65</v>
      </c>
      <c r="F26" s="3">
        <v>36.53</v>
      </c>
      <c r="G26" s="3">
        <v>43.72</v>
      </c>
      <c r="H26" s="3">
        <v>83.95</v>
      </c>
      <c r="I26" s="3">
        <v>114.63</v>
      </c>
      <c r="J26" s="3">
        <v>161.88</v>
      </c>
      <c r="K26" s="3">
        <v>281.02</v>
      </c>
    </row>
    <row r="27" spans="1:11" ht="14.4" x14ac:dyDescent="0.3">
      <c r="A27" s="2" t="s">
        <v>22</v>
      </c>
      <c r="B27" s="3">
        <v>13.11</v>
      </c>
      <c r="C27" s="3">
        <v>15.54</v>
      </c>
      <c r="D27" s="3">
        <v>13.45</v>
      </c>
      <c r="E27" s="3">
        <v>26.32</v>
      </c>
      <c r="F27" s="3">
        <v>39.44</v>
      </c>
      <c r="G27" s="3">
        <v>32.72</v>
      </c>
      <c r="H27" s="3">
        <v>49.4</v>
      </c>
      <c r="I27" s="3">
        <v>64.069999999999993</v>
      </c>
      <c r="J27" s="7">
        <v>80.959999999999994</v>
      </c>
      <c r="K27" s="7">
        <v>161.52000000000001</v>
      </c>
    </row>
    <row r="28" spans="1:11" x14ac:dyDescent="0.25">
      <c r="A28" s="2" t="s">
        <v>23</v>
      </c>
      <c r="B28" s="3">
        <v>50.6</v>
      </c>
      <c r="C28" s="3">
        <v>66.39</v>
      </c>
      <c r="D28" s="3">
        <v>88.23</v>
      </c>
      <c r="E28" s="3">
        <v>93.82</v>
      </c>
      <c r="F28" s="3">
        <v>156.76</v>
      </c>
      <c r="G28" s="3">
        <v>217.01</v>
      </c>
      <c r="H28" s="3">
        <v>254.71</v>
      </c>
      <c r="I28" s="3">
        <v>344.78</v>
      </c>
      <c r="J28" s="3">
        <v>493.83</v>
      </c>
      <c r="K28" s="3">
        <v>1569.8</v>
      </c>
    </row>
    <row r="29" spans="1:11" x14ac:dyDescent="0.25">
      <c r="A29" s="2" t="s">
        <v>24</v>
      </c>
      <c r="B29" s="3">
        <v>8.0299999999999994</v>
      </c>
      <c r="C29" s="3">
        <v>18.82</v>
      </c>
      <c r="D29" s="3">
        <v>27.33</v>
      </c>
      <c r="E29" s="3">
        <v>30.46</v>
      </c>
      <c r="F29" s="3">
        <v>36.270000000000003</v>
      </c>
      <c r="G29" s="3">
        <v>57.21</v>
      </c>
      <c r="H29" s="3">
        <v>64.38</v>
      </c>
      <c r="I29" s="3">
        <v>89.7</v>
      </c>
      <c r="J29" s="3">
        <v>118.91</v>
      </c>
      <c r="K29" s="3">
        <v>337.22</v>
      </c>
    </row>
    <row r="30" spans="1:11" x14ac:dyDescent="0.25">
      <c r="A30" s="2" t="s">
        <v>25</v>
      </c>
      <c r="B30" s="3">
        <v>42.57</v>
      </c>
      <c r="C30" s="3">
        <v>47.57</v>
      </c>
      <c r="D30" s="3">
        <v>60.9</v>
      </c>
      <c r="E30" s="3">
        <v>63.36</v>
      </c>
      <c r="F30" s="3">
        <v>120.5</v>
      </c>
      <c r="G30" s="3">
        <v>159.80000000000001</v>
      </c>
      <c r="H30" s="3">
        <v>190.17</v>
      </c>
      <c r="I30" s="3">
        <v>255.52</v>
      </c>
      <c r="J30" s="3">
        <v>367.75</v>
      </c>
      <c r="K30" s="3">
        <v>1095.54</v>
      </c>
    </row>
    <row r="31" spans="1:11" x14ac:dyDescent="0.25">
      <c r="A31" s="2" t="s">
        <v>26</v>
      </c>
      <c r="B31" s="3">
        <v>3.88</v>
      </c>
      <c r="C31" s="3">
        <v>6.59</v>
      </c>
      <c r="D31" s="3">
        <v>2.27</v>
      </c>
      <c r="E31" s="3">
        <v>2.27</v>
      </c>
      <c r="F31" s="3">
        <v>4.63</v>
      </c>
      <c r="G31" s="3">
        <v>5.86</v>
      </c>
      <c r="H31" s="3">
        <v>11.87</v>
      </c>
      <c r="I31" s="3">
        <v>17.86</v>
      </c>
      <c r="J31" s="3">
        <v>29.9</v>
      </c>
      <c r="K31" s="3">
        <v>48.2</v>
      </c>
    </row>
    <row r="32" spans="1:11" x14ac:dyDescent="0.25">
      <c r="A32" s="2" t="s">
        <v>27</v>
      </c>
      <c r="B32" s="8">
        <f>B29/B28</f>
        <v>0.15869565217391302</v>
      </c>
      <c r="C32" s="8">
        <f t="shared" ref="C32:K32" si="0">C29/C28</f>
        <v>0.283476427172767</v>
      </c>
      <c r="D32" s="8">
        <f t="shared" si="0"/>
        <v>0.30975858551513086</v>
      </c>
      <c r="E32" s="8">
        <f t="shared" si="0"/>
        <v>0.32466425069281607</v>
      </c>
      <c r="F32" s="8">
        <f t="shared" si="0"/>
        <v>0.23137279918346521</v>
      </c>
      <c r="G32" s="8">
        <f t="shared" si="0"/>
        <v>0.26362840422100364</v>
      </c>
      <c r="H32" s="8">
        <f t="shared" si="0"/>
        <v>0.2527580385536492</v>
      </c>
      <c r="I32" s="8">
        <f t="shared" si="0"/>
        <v>0.26016590289459951</v>
      </c>
      <c r="J32" s="8">
        <f t="shared" si="0"/>
        <v>0.24079136544964866</v>
      </c>
      <c r="K32" s="8">
        <f t="shared" si="0"/>
        <v>0.21481717416231369</v>
      </c>
    </row>
    <row r="34" spans="1:11" x14ac:dyDescent="0.25">
      <c r="A34" s="2" t="s">
        <v>28</v>
      </c>
      <c r="B34" s="2">
        <f>+B30+B29+B27+B26</f>
        <v>72.150000000000006</v>
      </c>
      <c r="C34" s="2">
        <f t="shared" ref="C34:K34" si="1">+C30+C29+C27+C26</f>
        <v>92.640000000000015</v>
      </c>
      <c r="D34" s="2">
        <f t="shared" si="1"/>
        <v>116.85999999999999</v>
      </c>
      <c r="E34" s="2">
        <f t="shared" si="1"/>
        <v>141.79</v>
      </c>
      <c r="F34" s="2">
        <f>+F30+F29+F27+F26</f>
        <v>232.74</v>
      </c>
      <c r="G34" s="2">
        <f t="shared" si="1"/>
        <v>293.45000000000005</v>
      </c>
      <c r="H34" s="2">
        <f t="shared" si="1"/>
        <v>387.9</v>
      </c>
      <c r="I34" s="2">
        <f t="shared" si="1"/>
        <v>523.92000000000007</v>
      </c>
      <c r="J34" s="2">
        <f t="shared" si="1"/>
        <v>729.5</v>
      </c>
      <c r="K34" s="2">
        <f t="shared" si="1"/>
        <v>1875.3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45199</v>
      </c>
      <c r="C41" s="5">
        <v>45291</v>
      </c>
      <c r="D41" s="5">
        <v>45382</v>
      </c>
      <c r="E41" s="5">
        <v>45473</v>
      </c>
      <c r="F41" s="5">
        <v>45565</v>
      </c>
      <c r="G41" s="5">
        <v>45657</v>
      </c>
      <c r="H41" s="5">
        <v>45747</v>
      </c>
      <c r="I41" s="5">
        <v>45838</v>
      </c>
      <c r="J41" s="5">
        <v>45930</v>
      </c>
      <c r="K41" s="5">
        <v>46022</v>
      </c>
    </row>
    <row r="42" spans="1:11" x14ac:dyDescent="0.25">
      <c r="A42" s="2" t="s">
        <v>12</v>
      </c>
      <c r="B42" s="3">
        <v>4943.18</v>
      </c>
      <c r="C42" s="3">
        <v>4818.25</v>
      </c>
      <c r="D42" s="3">
        <v>4657.97</v>
      </c>
      <c r="E42" s="3">
        <v>6579.8</v>
      </c>
      <c r="F42" s="3">
        <v>11534.08</v>
      </c>
      <c r="G42" s="3">
        <v>10453.68</v>
      </c>
      <c r="H42" s="3">
        <v>10292.540000000001</v>
      </c>
      <c r="I42" s="3">
        <v>12835.66</v>
      </c>
      <c r="J42" s="3">
        <v>14855.04</v>
      </c>
      <c r="K42" s="3">
        <v>10671.59</v>
      </c>
    </row>
    <row r="43" spans="1:11" x14ac:dyDescent="0.25">
      <c r="A43" s="2" t="s">
        <v>30</v>
      </c>
      <c r="B43" s="3">
        <v>4744.2700000000004</v>
      </c>
      <c r="C43" s="3">
        <v>4633.8599999999997</v>
      </c>
      <c r="D43" s="3">
        <v>4475.5200000000004</v>
      </c>
      <c r="E43" s="3">
        <v>6331.9</v>
      </c>
      <c r="F43" s="3">
        <v>11107.71</v>
      </c>
      <c r="G43" s="3">
        <v>10063.16</v>
      </c>
      <c r="H43" s="3">
        <v>9849.75</v>
      </c>
      <c r="I43" s="3">
        <v>12353.29</v>
      </c>
      <c r="J43" s="3">
        <v>14293.71</v>
      </c>
      <c r="K43" s="3">
        <v>10257.14</v>
      </c>
    </row>
    <row r="44" spans="1:11" x14ac:dyDescent="0.25">
      <c r="A44" s="2" t="s">
        <v>20</v>
      </c>
      <c r="B44" s="3">
        <v>3.19</v>
      </c>
      <c r="C44" s="3">
        <v>4.25</v>
      </c>
      <c r="D44" s="3">
        <v>19.489999999999998</v>
      </c>
      <c r="E44" s="3">
        <v>15.62</v>
      </c>
      <c r="F44" s="3">
        <v>206.48</v>
      </c>
      <c r="G44" s="3">
        <v>10.08</v>
      </c>
      <c r="H44" s="3">
        <v>265.41000000000003</v>
      </c>
      <c r="I44" s="3">
        <v>8.44</v>
      </c>
      <c r="J44" s="3">
        <v>496.89</v>
      </c>
      <c r="K44" s="3">
        <v>139.13999999999999</v>
      </c>
    </row>
    <row r="45" spans="1:11" x14ac:dyDescent="0.25">
      <c r="A45" s="2" t="s">
        <v>21</v>
      </c>
      <c r="B45" s="3">
        <v>36.44</v>
      </c>
      <c r="C45" s="3">
        <v>40.700000000000003</v>
      </c>
      <c r="D45" s="3">
        <v>51.03</v>
      </c>
      <c r="E45" s="3">
        <v>54.51</v>
      </c>
      <c r="F45" s="3">
        <v>66</v>
      </c>
      <c r="G45" s="3">
        <v>74.599999999999994</v>
      </c>
      <c r="H45" s="3">
        <v>85.91</v>
      </c>
      <c r="I45" s="3">
        <v>92.7</v>
      </c>
      <c r="J45" s="3">
        <v>96.28</v>
      </c>
      <c r="K45" s="3">
        <v>99.03</v>
      </c>
    </row>
    <row r="46" spans="1:11" ht="14.4" x14ac:dyDescent="0.3">
      <c r="A46" s="2" t="s">
        <v>22</v>
      </c>
      <c r="B46" s="7">
        <v>17.12</v>
      </c>
      <c r="C46" s="7">
        <v>22.2</v>
      </c>
      <c r="D46" s="7">
        <v>21.4</v>
      </c>
      <c r="E46" s="7">
        <v>29.29</v>
      </c>
      <c r="F46" s="7">
        <v>37.93</v>
      </c>
      <c r="G46" s="7">
        <v>40.869999999999997</v>
      </c>
      <c r="H46" s="7">
        <v>46.26</v>
      </c>
      <c r="I46" s="7">
        <v>32.590000000000003</v>
      </c>
      <c r="J46" s="7">
        <v>38.35</v>
      </c>
      <c r="K46" s="7">
        <v>42.87</v>
      </c>
    </row>
    <row r="47" spans="1:11" x14ac:dyDescent="0.25">
      <c r="A47" s="2" t="s">
        <v>23</v>
      </c>
      <c r="B47" s="3">
        <v>148.54</v>
      </c>
      <c r="C47" s="3">
        <v>125.74</v>
      </c>
      <c r="D47" s="3">
        <v>129.51</v>
      </c>
      <c r="E47" s="3">
        <v>179.72</v>
      </c>
      <c r="F47" s="3">
        <v>528.91999999999996</v>
      </c>
      <c r="G47" s="3">
        <v>285.13</v>
      </c>
      <c r="H47" s="3">
        <v>576.03</v>
      </c>
      <c r="I47" s="3">
        <v>365.52</v>
      </c>
      <c r="J47" s="3">
        <v>923.59</v>
      </c>
      <c r="K47" s="3">
        <v>411.69</v>
      </c>
    </row>
    <row r="48" spans="1:11" x14ac:dyDescent="0.25">
      <c r="A48" s="2" t="s">
        <v>24</v>
      </c>
      <c r="B48" s="3">
        <v>35.18</v>
      </c>
      <c r="C48" s="3">
        <v>28.67</v>
      </c>
      <c r="D48" s="3">
        <v>32.21</v>
      </c>
      <c r="E48" s="3">
        <v>40.020000000000003</v>
      </c>
      <c r="F48" s="3">
        <v>117.22</v>
      </c>
      <c r="G48" s="3">
        <v>68.900000000000006</v>
      </c>
      <c r="H48" s="3">
        <v>111.08</v>
      </c>
      <c r="I48" s="3">
        <v>85.5</v>
      </c>
      <c r="J48" s="3">
        <v>177.89</v>
      </c>
      <c r="K48" s="3">
        <v>91.13</v>
      </c>
    </row>
    <row r="49" spans="1:11" x14ac:dyDescent="0.25">
      <c r="A49" s="2" t="s">
        <v>25</v>
      </c>
      <c r="B49" s="3">
        <v>107.32</v>
      </c>
      <c r="C49" s="3">
        <v>96.44</v>
      </c>
      <c r="D49" s="3">
        <v>95.17</v>
      </c>
      <c r="E49" s="3">
        <v>133.68</v>
      </c>
      <c r="F49" s="3">
        <v>389.85</v>
      </c>
      <c r="G49" s="3">
        <v>171.19</v>
      </c>
      <c r="H49" s="3">
        <v>400.82</v>
      </c>
      <c r="I49" s="3">
        <v>224.97</v>
      </c>
      <c r="J49" s="3">
        <v>670</v>
      </c>
      <c r="K49" s="3">
        <v>287.26</v>
      </c>
    </row>
    <row r="50" spans="1:11" x14ac:dyDescent="0.25">
      <c r="A50" s="2" t="s">
        <v>31</v>
      </c>
      <c r="B50" s="3">
        <v>198.91</v>
      </c>
      <c r="C50" s="3">
        <v>184.39</v>
      </c>
      <c r="D50" s="3">
        <v>182.45</v>
      </c>
      <c r="E50" s="3">
        <v>247.9</v>
      </c>
      <c r="F50" s="3">
        <v>426.37</v>
      </c>
      <c r="G50" s="3">
        <v>390.52</v>
      </c>
      <c r="H50" s="3">
        <v>442.79</v>
      </c>
      <c r="I50" s="3">
        <v>482.37</v>
      </c>
      <c r="J50" s="3">
        <v>561.33000000000004</v>
      </c>
      <c r="K50" s="3">
        <v>414.45</v>
      </c>
    </row>
    <row r="51" spans="1:11" x14ac:dyDescent="0.25">
      <c r="A51" s="2" t="s">
        <v>28</v>
      </c>
      <c r="B51" s="2">
        <f>B49+B48+B46+B45</f>
        <v>196.06</v>
      </c>
      <c r="C51" s="2">
        <f t="shared" ref="C51:K51" si="2">C49+C48+C46+C45</f>
        <v>188.01</v>
      </c>
      <c r="D51" s="2">
        <f t="shared" si="2"/>
        <v>199.81</v>
      </c>
      <c r="E51" s="2">
        <f t="shared" si="2"/>
        <v>257.5</v>
      </c>
      <c r="F51" s="2">
        <f t="shared" si="2"/>
        <v>611</v>
      </c>
      <c r="G51" s="2">
        <f t="shared" si="2"/>
        <v>355.55999999999995</v>
      </c>
      <c r="H51" s="2">
        <f t="shared" si="2"/>
        <v>644.06999999999994</v>
      </c>
      <c r="I51" s="2">
        <f t="shared" si="2"/>
        <v>435.76000000000005</v>
      </c>
      <c r="J51" s="2">
        <f t="shared" si="2"/>
        <v>982.52</v>
      </c>
      <c r="K51" s="2">
        <f t="shared" si="2"/>
        <v>520.29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5">
      <c r="A57" s="2" t="s">
        <v>33</v>
      </c>
      <c r="B57" s="3">
        <v>3.1</v>
      </c>
      <c r="C57" s="3">
        <v>10.99</v>
      </c>
      <c r="D57" s="3">
        <v>11.33</v>
      </c>
      <c r="E57" s="3">
        <v>11.33</v>
      </c>
      <c r="F57" s="3">
        <v>11.57</v>
      </c>
      <c r="G57" s="3">
        <v>11.71</v>
      </c>
      <c r="H57" s="3">
        <v>11.87</v>
      </c>
      <c r="I57" s="3">
        <v>11.91</v>
      </c>
      <c r="J57" s="3">
        <v>11.96</v>
      </c>
      <c r="K57" s="3">
        <v>12.05</v>
      </c>
    </row>
    <row r="58" spans="1:11" x14ac:dyDescent="0.25">
      <c r="A58" s="2" t="s">
        <v>34</v>
      </c>
      <c r="B58" s="3">
        <v>119.71</v>
      </c>
      <c r="C58" s="3">
        <v>186.08</v>
      </c>
      <c r="D58" s="3">
        <v>303.64999999999998</v>
      </c>
      <c r="E58" s="3">
        <v>366.89</v>
      </c>
      <c r="F58" s="3">
        <v>529.76</v>
      </c>
      <c r="G58" s="3">
        <v>725.59</v>
      </c>
      <c r="H58" s="3">
        <v>984.91</v>
      </c>
      <c r="I58" s="3">
        <v>1273</v>
      </c>
      <c r="J58" s="3">
        <v>1682.89</v>
      </c>
      <c r="K58" s="3">
        <v>2998.15</v>
      </c>
    </row>
    <row r="59" spans="1:11" ht="14.4" x14ac:dyDescent="0.3">
      <c r="A59" s="2" t="s">
        <v>35</v>
      </c>
      <c r="B59" s="7">
        <v>79.599999999999994</v>
      </c>
      <c r="C59" s="7">
        <v>42.95</v>
      </c>
      <c r="D59" s="7">
        <v>44.63</v>
      </c>
      <c r="E59" s="7">
        <v>141.24</v>
      </c>
      <c r="F59" s="7">
        <v>86.67</v>
      </c>
      <c r="G59" s="7">
        <v>294.52999999999997</v>
      </c>
      <c r="H59" s="7">
        <v>666.9</v>
      </c>
      <c r="I59" s="7">
        <v>453.09</v>
      </c>
      <c r="J59" s="7">
        <v>488.98</v>
      </c>
      <c r="K59" s="7">
        <v>670.96</v>
      </c>
    </row>
    <row r="60" spans="1:11" x14ac:dyDescent="0.25">
      <c r="A60" s="2" t="s">
        <v>36</v>
      </c>
      <c r="B60" s="3">
        <v>214.81</v>
      </c>
      <c r="C60" s="3">
        <v>548.65</v>
      </c>
      <c r="D60" s="3">
        <v>605.92999999999995</v>
      </c>
      <c r="E60" s="3">
        <v>971.39</v>
      </c>
      <c r="F60" s="3">
        <v>1068.96</v>
      </c>
      <c r="G60" s="3">
        <v>1813.83</v>
      </c>
      <c r="H60" s="3">
        <v>2613.4899999999998</v>
      </c>
      <c r="I60" s="3">
        <v>2941.43</v>
      </c>
      <c r="J60" s="3">
        <v>4805.7</v>
      </c>
      <c r="K60" s="3">
        <v>13076.59</v>
      </c>
    </row>
    <row r="61" spans="1:11" s="1" customFormat="1" x14ac:dyDescent="0.25">
      <c r="A61" s="1" t="s">
        <v>37</v>
      </c>
      <c r="B61" s="3">
        <v>417.22</v>
      </c>
      <c r="C61" s="3">
        <v>788.67</v>
      </c>
      <c r="D61" s="3">
        <v>965.54</v>
      </c>
      <c r="E61" s="3">
        <v>1490.85</v>
      </c>
      <c r="F61" s="3">
        <v>1696.96</v>
      </c>
      <c r="G61" s="3">
        <v>2845.66</v>
      </c>
      <c r="H61" s="3">
        <v>4277.17</v>
      </c>
      <c r="I61" s="3">
        <v>4679.43</v>
      </c>
      <c r="J61" s="3">
        <v>6989.53</v>
      </c>
      <c r="K61" s="3">
        <v>16757.75</v>
      </c>
    </row>
    <row r="62" spans="1:11" x14ac:dyDescent="0.25">
      <c r="A62" s="2" t="s">
        <v>38</v>
      </c>
      <c r="B62" s="3">
        <v>123.59</v>
      </c>
      <c r="C62" s="3">
        <v>136.56</v>
      </c>
      <c r="D62" s="3">
        <v>179.05</v>
      </c>
      <c r="E62" s="3">
        <v>240.94</v>
      </c>
      <c r="F62" s="3">
        <v>414.08</v>
      </c>
      <c r="G62" s="3">
        <v>550.23</v>
      </c>
      <c r="H62" s="3">
        <v>1003.29</v>
      </c>
      <c r="I62" s="3">
        <v>1243.6400000000001</v>
      </c>
      <c r="J62" s="3">
        <v>1996.25</v>
      </c>
      <c r="K62" s="3">
        <v>2773.76</v>
      </c>
    </row>
    <row r="63" spans="1:11" x14ac:dyDescent="0.25">
      <c r="A63" s="2" t="s">
        <v>39</v>
      </c>
      <c r="B63" s="3">
        <v>0.01</v>
      </c>
      <c r="C63" s="3">
        <v>1.96</v>
      </c>
      <c r="D63" s="3">
        <v>15.94</v>
      </c>
      <c r="E63" s="3">
        <v>18.77</v>
      </c>
      <c r="F63" s="3">
        <v>9.5500000000000007</v>
      </c>
      <c r="G63" s="3">
        <v>72.39</v>
      </c>
      <c r="H63" s="3">
        <v>22.39</v>
      </c>
      <c r="I63" s="3">
        <v>119.7</v>
      </c>
      <c r="J63" s="3">
        <v>68.34</v>
      </c>
      <c r="K63" s="3">
        <v>256.95</v>
      </c>
    </row>
    <row r="64" spans="1:11" ht="14.4" x14ac:dyDescent="0.3">
      <c r="A64" s="2" t="s">
        <v>40</v>
      </c>
      <c r="B64" s="3">
        <v>0.1</v>
      </c>
      <c r="C64" s="7"/>
      <c r="D64" s="3">
        <v>11.12</v>
      </c>
      <c r="E64" s="3">
        <v>7.61</v>
      </c>
      <c r="F64" s="3"/>
      <c r="G64" s="3">
        <v>95.25</v>
      </c>
      <c r="H64" s="3">
        <v>140.96</v>
      </c>
      <c r="I64" s="3">
        <v>44.15</v>
      </c>
      <c r="J64" s="3">
        <v>20.04</v>
      </c>
      <c r="K64" s="3">
        <v>535.6</v>
      </c>
    </row>
    <row r="65" spans="1:11" x14ac:dyDescent="0.25">
      <c r="A65" s="2" t="s">
        <v>41</v>
      </c>
      <c r="B65" s="3">
        <v>293.52</v>
      </c>
      <c r="C65" s="3">
        <v>650.15</v>
      </c>
      <c r="D65" s="3">
        <v>759.43</v>
      </c>
      <c r="E65" s="3">
        <v>1223.53</v>
      </c>
      <c r="F65" s="3">
        <v>1273.33</v>
      </c>
      <c r="G65" s="3">
        <v>2127.79</v>
      </c>
      <c r="H65" s="3">
        <v>3110.53</v>
      </c>
      <c r="I65" s="3">
        <v>3271.94</v>
      </c>
      <c r="J65" s="3">
        <v>4904.8999999999996</v>
      </c>
      <c r="K65" s="3">
        <v>13191.44</v>
      </c>
    </row>
    <row r="66" spans="1:11" s="1" customFormat="1" x14ac:dyDescent="0.25">
      <c r="A66" s="1" t="s">
        <v>37</v>
      </c>
      <c r="B66" s="3">
        <v>417.22</v>
      </c>
      <c r="C66" s="3">
        <v>788.67</v>
      </c>
      <c r="D66" s="3">
        <v>965.54</v>
      </c>
      <c r="E66" s="3">
        <v>1490.85</v>
      </c>
      <c r="F66" s="3">
        <v>1696.96</v>
      </c>
      <c r="G66" s="3">
        <v>2845.66</v>
      </c>
      <c r="H66" s="3">
        <v>4277.17</v>
      </c>
      <c r="I66" s="3">
        <v>4679.43</v>
      </c>
      <c r="J66" s="3">
        <v>6989.53</v>
      </c>
      <c r="K66" s="3">
        <v>16757.75</v>
      </c>
    </row>
    <row r="67" spans="1:11" x14ac:dyDescent="0.25">
      <c r="A67" s="2" t="s">
        <v>42</v>
      </c>
      <c r="B67" s="3">
        <v>87.61</v>
      </c>
      <c r="C67" s="3">
        <v>280.20999999999998</v>
      </c>
      <c r="D67" s="3">
        <v>298.5</v>
      </c>
      <c r="E67" s="3">
        <v>516.74</v>
      </c>
      <c r="F67" s="3">
        <v>515.12</v>
      </c>
      <c r="G67" s="3">
        <v>1089.06</v>
      </c>
      <c r="H67" s="3">
        <v>1356.35</v>
      </c>
      <c r="I67" s="3">
        <v>1715.45</v>
      </c>
      <c r="J67" s="3">
        <v>2317.88</v>
      </c>
      <c r="K67" s="3">
        <v>6965.45</v>
      </c>
    </row>
    <row r="68" spans="1:11" ht="14.4" x14ac:dyDescent="0.3">
      <c r="A68" s="2" t="s">
        <v>43</v>
      </c>
      <c r="B68" s="7">
        <v>136.28</v>
      </c>
      <c r="C68" s="7">
        <v>282.2</v>
      </c>
      <c r="D68" s="7">
        <v>322.33999999999997</v>
      </c>
      <c r="E68" s="7">
        <v>408.36</v>
      </c>
      <c r="F68" s="7">
        <v>497.84</v>
      </c>
      <c r="G68" s="7">
        <v>743.25</v>
      </c>
      <c r="H68" s="7">
        <v>1155.69</v>
      </c>
      <c r="I68" s="7">
        <v>957.87</v>
      </c>
      <c r="J68" s="7">
        <v>1695.01</v>
      </c>
      <c r="K68" s="7">
        <v>3992.4</v>
      </c>
    </row>
    <row r="69" spans="1:11" x14ac:dyDescent="0.25">
      <c r="A69" s="2" t="s">
        <v>44</v>
      </c>
      <c r="B69" s="3">
        <v>7.46</v>
      </c>
      <c r="C69" s="3">
        <v>15.33</v>
      </c>
      <c r="D69" s="3">
        <v>44.12</v>
      </c>
      <c r="E69" s="3">
        <v>36.72</v>
      </c>
      <c r="F69" s="3">
        <v>100.16</v>
      </c>
      <c r="G69" s="3">
        <v>68.88</v>
      </c>
      <c r="H69" s="3">
        <v>182.34</v>
      </c>
      <c r="I69" s="3">
        <v>229.18</v>
      </c>
      <c r="J69" s="3">
        <v>208.65</v>
      </c>
      <c r="K69" s="3">
        <v>263.52999999999997</v>
      </c>
    </row>
    <row r="70" spans="1:11" x14ac:dyDescent="0.25">
      <c r="A70" s="2" t="s">
        <v>45</v>
      </c>
      <c r="B70" s="3">
        <v>3103157</v>
      </c>
      <c r="C70" s="3">
        <v>10985341</v>
      </c>
      <c r="D70" s="3">
        <v>11325091</v>
      </c>
      <c r="E70" s="3">
        <v>11325091</v>
      </c>
      <c r="F70" s="3">
        <v>11570141</v>
      </c>
      <c r="G70" s="3">
        <v>58569355</v>
      </c>
      <c r="H70" s="3">
        <v>59341935</v>
      </c>
      <c r="I70" s="3">
        <v>59560165</v>
      </c>
      <c r="J70" s="3">
        <v>59821595</v>
      </c>
      <c r="K70" s="3">
        <v>60236688</v>
      </c>
    </row>
    <row r="71" spans="1:11" ht="13.8" x14ac:dyDescent="0.25">
      <c r="A71" s="2" t="s">
        <v>46</v>
      </c>
      <c r="B71" s="9"/>
      <c r="C71" s="9"/>
      <c r="G71" s="9"/>
      <c r="H71" s="9"/>
    </row>
    <row r="72" spans="1:11" x14ac:dyDescent="0.25">
      <c r="A72" s="2" t="s">
        <v>47</v>
      </c>
      <c r="B72" s="3">
        <v>10</v>
      </c>
      <c r="C72" s="3">
        <v>10</v>
      </c>
      <c r="D72" s="3">
        <v>10</v>
      </c>
      <c r="E72" s="3">
        <v>10</v>
      </c>
      <c r="F72" s="3">
        <v>10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5">
      <c r="H73" s="2">
        <f>H62-G62+H45</f>
        <v>538.96999999999991</v>
      </c>
      <c r="I73" s="2">
        <f t="shared" ref="I73:K73" si="3">I62-H62+I45</f>
        <v>333.05000000000013</v>
      </c>
      <c r="J73" s="2">
        <f t="shared" si="3"/>
        <v>848.88999999999987</v>
      </c>
      <c r="K73" s="2">
        <f t="shared" si="3"/>
        <v>876.54000000000019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25">
      <c r="A82" s="2" t="s">
        <v>49</v>
      </c>
      <c r="B82" s="3">
        <v>42.25</v>
      </c>
      <c r="C82" s="3">
        <v>52.88</v>
      </c>
      <c r="D82" s="3">
        <v>67.88</v>
      </c>
      <c r="E82" s="3">
        <v>-3.06</v>
      </c>
      <c r="F82" s="3">
        <v>237.34</v>
      </c>
      <c r="G82" s="3">
        <v>170.11</v>
      </c>
      <c r="H82" s="3">
        <v>272.74</v>
      </c>
      <c r="I82" s="3">
        <v>725.75</v>
      </c>
      <c r="J82" s="3">
        <v>584.30999999999995</v>
      </c>
      <c r="K82" s="3">
        <v>1149.75</v>
      </c>
    </row>
    <row r="83" spans="1:12" x14ac:dyDescent="0.25">
      <c r="A83" s="2" t="s">
        <v>50</v>
      </c>
      <c r="B83" s="3">
        <v>-21.61</v>
      </c>
      <c r="C83" s="3">
        <v>-43.42</v>
      </c>
      <c r="D83" s="3">
        <v>-99.72</v>
      </c>
      <c r="E83" s="3">
        <v>-63.79</v>
      </c>
      <c r="F83" s="3">
        <v>-98.75</v>
      </c>
      <c r="G83" s="3">
        <v>-265.39999999999998</v>
      </c>
      <c r="H83" s="3">
        <v>-464.46</v>
      </c>
      <c r="I83" s="3">
        <v>-355.55</v>
      </c>
      <c r="J83" s="3">
        <v>-530.9</v>
      </c>
      <c r="K83" s="3">
        <v>-1092.81</v>
      </c>
    </row>
    <row r="84" spans="1:12" x14ac:dyDescent="0.25">
      <c r="A84" s="2" t="s">
        <v>51</v>
      </c>
      <c r="B84" s="3">
        <v>-20.059999999999999</v>
      </c>
      <c r="C84" s="3">
        <v>-8.42</v>
      </c>
      <c r="D84" s="3">
        <v>41.79</v>
      </c>
      <c r="E84" s="3">
        <v>68.62</v>
      </c>
      <c r="F84" s="3">
        <v>-57.36</v>
      </c>
      <c r="G84" s="3">
        <v>63.47</v>
      </c>
      <c r="H84" s="3">
        <v>304.32</v>
      </c>
      <c r="I84" s="3">
        <v>-329.62</v>
      </c>
      <c r="J84" s="3">
        <v>-69.97</v>
      </c>
      <c r="K84" s="3">
        <v>-26.57</v>
      </c>
    </row>
    <row r="85" spans="1:12" s="1" customFormat="1" x14ac:dyDescent="0.25">
      <c r="A85" s="2" t="s">
        <v>52</v>
      </c>
      <c r="B85" s="3">
        <v>0.59</v>
      </c>
      <c r="C85" s="3">
        <v>1.04</v>
      </c>
      <c r="D85" s="3">
        <v>9.9499999999999993</v>
      </c>
      <c r="E85" s="3">
        <v>1.76</v>
      </c>
      <c r="F85" s="3">
        <v>81.23</v>
      </c>
      <c r="G85" s="3">
        <v>-31.82</v>
      </c>
      <c r="H85" s="3">
        <v>112.6</v>
      </c>
      <c r="I85" s="3">
        <v>40.58</v>
      </c>
      <c r="J85" s="3">
        <v>-16.559999999999999</v>
      </c>
      <c r="K85" s="3">
        <v>30.37</v>
      </c>
    </row>
    <row r="90" spans="1:12" s="1" customFormat="1" x14ac:dyDescent="0.25">
      <c r="A90" s="1" t="s">
        <v>53</v>
      </c>
      <c r="B90" s="3"/>
      <c r="C90" s="3"/>
      <c r="D90" s="3">
        <v>658.21</v>
      </c>
      <c r="E90" s="3">
        <v>470.2</v>
      </c>
      <c r="F90" s="3">
        <v>715.97</v>
      </c>
      <c r="G90" s="3">
        <v>3672.15</v>
      </c>
      <c r="H90" s="3">
        <v>4308.8</v>
      </c>
      <c r="I90" s="3">
        <v>2861.3</v>
      </c>
      <c r="J90" s="3">
        <v>7479.25</v>
      </c>
      <c r="K90" s="3">
        <v>13179.5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1.55</v>
      </c>
      <c r="C93" s="10">
        <v>5.49</v>
      </c>
      <c r="D93" s="10">
        <v>5.66</v>
      </c>
      <c r="E93" s="10">
        <v>5.66</v>
      </c>
      <c r="F93" s="10">
        <v>5.79</v>
      </c>
      <c r="G93" s="10">
        <v>5.86</v>
      </c>
      <c r="H93" s="10">
        <v>5.93</v>
      </c>
      <c r="I93" s="10">
        <v>5.96</v>
      </c>
      <c r="J93" s="10">
        <v>5.98</v>
      </c>
      <c r="K93" s="10">
        <v>6.02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Cover</vt:lpstr>
      <vt:lpstr>Assumptions</vt:lpstr>
      <vt:lpstr>HistoricalFS</vt:lpstr>
      <vt:lpstr>Ratio Analysis</vt:lpstr>
      <vt:lpstr>Common Size Statement</vt:lpstr>
      <vt:lpstr>Forecasting</vt:lpstr>
      <vt:lpstr>WC</vt:lpstr>
      <vt:lpstr>Projected CFS</vt:lpstr>
      <vt:lpstr>DCF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Vinayak Tarafdar</cp:lastModifiedBy>
  <dcterms:created xsi:type="dcterms:W3CDTF">2023-01-14T08:22:33Z</dcterms:created>
  <dcterms:modified xsi:type="dcterms:W3CDTF">2026-04-03T08:28:04Z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